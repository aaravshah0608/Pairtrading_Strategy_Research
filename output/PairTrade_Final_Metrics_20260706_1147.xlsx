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Strategy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<sst xmlns="http://schemas.openxmlformats.org/spreadsheetml/2006/main" count="444" uniqueCount="444">
  <si>
    <t>Project: Pair Trading Strategy</t>
  </si>
  <si>
    <t>Compatibility Note:</t>
  </si>
  <si>
    <t>This file is optimized for Google Sheets.</t>
  </si>
  <si>
    <t>If you are using Microsoft Excel and encounter formula errors:</t>
  </si>
  <si>
    <t>1. Excel may automatically insert "@" symbols into formulas.</t>
  </si>
  <si>
    <t>2. If formulas fail, try removing the "@" symbol from the formula bar.</t>
  </si>
  <si>
    <t>3. Ensure your Excel regional settings use the correct list separator (comma or semicolon).</t>
  </si>
  <si>
    <t>EMA Window</t>
  </si>
  <si>
    <t>Entry Z-Score</t>
  </si>
  <si>
    <t>Exit Z-Score</t>
  </si>
  <si>
    <t>Trading Cost</t>
  </si>
  <si>
    <t>Risk Free Rate</t>
  </si>
  <si>
    <t>Date</t>
  </si>
  <si>
    <t>TQQQ</t>
  </si>
  <si>
    <t>LQQ3_USD</t>
  </si>
  <si>
    <t>Ratio</t>
  </si>
  <si>
    <t>EMA</t>
  </si>
  <si>
    <t>StdDev</t>
  </si>
  <si>
    <t>Z_Score</t>
  </si>
  <si>
    <t>Signal</t>
  </si>
  <si>
    <t>Return</t>
  </si>
  <si>
    <t>Equity</t>
  </si>
  <si>
    <t>TQQQ_Ret</t>
  </si>
  <si>
    <t>Peak</t>
  </si>
  <si>
    <t>Drawdown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</si>
  <si>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</si>
  <si>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</si>
  <si>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</si>
  <si>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</si>
  <si>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</si>
  <si>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</si>
  <si>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</si>
  <si>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</si>
  <si>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</si>
  <si>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</si>
  <si>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</si>
  <si>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</si>
  <si>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2024-04-30</t>
  </si>
  <si>
    <t>2024-05-01</t>
  </si>
  <si>
    <t>2024-05-02</t>
  </si>
  <si>
    <t>2024-05-03</t>
  </si>
  <si>
    <t>2024-05-07</t>
  </si>
  <si>
    <t>2024-05-08</t>
  </si>
  <si>
    <t>2024-05-10</t>
  </si>
  <si>
    <t>2024-05-13</t>
  </si>
  <si>
    <t>2024-05-14</t>
  </si>
  <si>
    <t>2024-05-20</t>
  </si>
  <si>
    <t>2024-05-22</t>
  </si>
  <si>
    <t>2024-05-23</t>
  </si>
  <si>
    <t>2024-05-29</t>
  </si>
  <si>
    <t>2024-05-31</t>
  </si>
  <si>
    <t>2024-06-04</t>
  </si>
  <si>
    <t>2024-06-06</t>
  </si>
  <si>
    <t>2024-06-10</t>
  </si>
  <si>
    <t>2024-06-12</t>
  </si>
  <si>
    <t>2024-06-13</t>
  </si>
  <si>
    <t>2024-06-18</t>
  </si>
  <si>
    <t>2024-06-20</t>
  </si>
  <si>
    <t>2024-06-21</t>
  </si>
  <si>
    <t>2024-06-25</t>
  </si>
  <si>
    <t>2024-06-26</t>
  </si>
  <si>
    <t>2024-06-27</t>
  </si>
  <si>
    <t>2024-06-28</t>
  </si>
  <si>
    <t>2024-07-01</t>
  </si>
  <si>
    <t>2024-07-02</t>
  </si>
  <si>
    <t>2024-07-08</t>
  </si>
  <si>
    <t>2024-07-10</t>
  </si>
  <si>
    <t>2024-07-11</t>
  </si>
  <si>
    <t>2024-07-12</t>
  </si>
  <si>
    <t>2024-07-16</t>
  </si>
  <si>
    <t>2024-07-17</t>
  </si>
  <si>
    <t>2024-07-18</t>
  </si>
  <si>
    <t>2024-07-22</t>
  </si>
  <si>
    <t>2024-07-24</t>
  </si>
  <si>
    <t>2024-07-25</t>
  </si>
  <si>
    <t>2024-07-26</t>
  </si>
  <si>
    <t>2024-07-29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</si>
  <si>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</si>
  <si>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</si>
  <si>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</si>
  <si>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</si>
  <si>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</si>
  <si>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</si>
  <si>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</si>
  <si>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</si>
  <si>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</si>
  <si>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</si>
  <si>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</si>
  <si>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</si>
  <si>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</si>
  <si>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2024-08-20</t>
  </si>
  <si>
    <t>2024-08-22</t>
  </si>
  <si>
    <t>2024-08-23</t>
  </si>
  <si>
    <t>2024-08-27</t>
  </si>
  <si>
    <t>2024-08-29</t>
  </si>
  <si>
    <t>2024-08-30</t>
  </si>
  <si>
    <t>2024-09-03</t>
  </si>
  <si>
    <t>2024-09-04</t>
  </si>
  <si>
    <t>2024-09-05</t>
  </si>
  <si>
    <t>2024-09-06</t>
  </si>
  <si>
    <t>2024-09-10</t>
  </si>
  <si>
    <t>2024-09-11</t>
  </si>
  <si>
    <t>2024-09-13</t>
  </si>
  <si>
    <t>2024-09-16</t>
  </si>
  <si>
    <t>2024-09-17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</si>
  <si>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</si>
  <si>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</si>
  <si>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</si>
  <si>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</si>
  <si>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</si>
  <si>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</si>
  <si>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</si>
  <si>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</si>
  <si>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</si>
  <si>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</si>
  <si>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</si>
  <si>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</si>
  <si>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</si>
  <si>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</si>
  <si>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</si>
  <si>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</si>
  <si>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</si>
  <si>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</si>
  <si>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</si>
  <si>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</si>
  <si>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</si>
  <si>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</si>
  <si>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</si>
  <si>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</si>
  <si>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</si>
  <si>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</si>
  <si>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</si>
  <si>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</si>
  <si>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</si>
  <si>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</si>
  <si>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</si>
  <si>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</si>
  <si>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</si>
  <si>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</si>
  <si>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</si>
  <si>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</si>
  <si>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</si>
  <si>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</si>
  <si>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2024-11-19</t>
  </si>
  <si>
    <t>2024-11-20</t>
  </si>
  <si>
    <t>2024-11-21</t>
  </si>
  <si>
    <t>2024-11-25</t>
  </si>
  <si>
    <t>2024-11-26</t>
  </si>
  <si>
    <t>2024-11-27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</si>
  <si>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</si>
  <si>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</si>
  <si>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</si>
  <si>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</si>
  <si>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</si>
  <si>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</si>
  <si>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</si>
  <si>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</si>
  <si>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2024-12-13</t>
  </si>
  <si>
    <t>2024-12-16</t>
  </si>
  <si>
    <t>2024-12-17</t>
  </si>
  <si>
    <t>2024-12-19</t>
  </si>
  <si>
    <t>2024-12-20</t>
  </si>
  <si>
    <t>2024-12-23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</si>
  <si>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</si>
  <si>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</si>
  <si>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</si>
  <si>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</si>
  <si>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</si>
  <si>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</si>
  <si>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</si>
  <si>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</si>
  <si>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</si>
  <si>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</si>
  <si>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</si>
  <si>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</si>
  <si>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</si>
  <si>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</si>
  <si>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</si>
  <si>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</si>
  <si>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</si>
  <si>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</si>
  <si>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</si>
  <si>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2025-01-30</t>
  </si>
  <si>
    <t>2025-01-31</t>
  </si>
  <si>
    <t>2025-02-03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</si>
  <si>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</si>
  <si>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</si>
  <si>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</si>
  <si>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</si>
  <si>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</si>
  <si>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</si>
  <si>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</si>
  <si>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</si>
  <si>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</si>
  <si>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</si>
  <si>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</si>
  <si>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</si>
  <si>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</si>
  <si>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</si>
  <si>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</si>
  <si>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</si>
  <si>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</si>
  <si>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</si>
  <si>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</si>
  <si>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</si>
  <si>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</si>
  <si>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</si>
  <si>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</si>
  <si>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</si>
  <si>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</si>
  <si>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</si>
  <si>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</si>
  <si>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</si>
  <si>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</si>
  <si>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</si>
  <si>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</si>
  <si>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</si>
  <si>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</si>
  <si>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</si>
  <si>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</si>
  <si>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</si>
  <si>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</si>
  <si>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</si>
  <si>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</si>
  <si>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</si>
  <si>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</si>
  <si>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</si>
  <si>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</si>
  <si>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</si>
  <si>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</si>
  <si>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</si>
  <si>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</si>
  <si>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</si>
  <si>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</si>
  <si>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</si>
  <si>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</si>
  <si>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</si>
  <si>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</si>
  <si>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</si>
  <si>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</si>
  <si>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</si>
  <si>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</si>
  <si>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</si>
  <si>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</si>
  <si>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</si>
  <si>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</si>
  <si>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</si>
  <si>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</si>
  <si>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</si>
  <si>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</si>
  <si>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</si>
  <si>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</si>
  <si>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</si>
  <si>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</si>
  <si>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</si>
  <si>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</si>
  <si>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</si>
  <si>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</si>
  <si>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</si>
  <si>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</si>
  <si>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</si>
  <si>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</si>
  <si>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</si>
  <si>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</si>
  <si>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</si>
  <si>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</si>
  <si>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</si>
  <si>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</si>
  <si>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</si>
  <si>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</si>
  <si>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</si>
  <si>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</si>
  <si>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</si>
  <si>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</si>
  <si>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</si>
  <si>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</si>
  <si>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</si>
  <si>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2025-07-07</t>
  </si>
  <si>
    <t>2025-07-08</t>
  </si>
  <si>
    <t>2025-07-09</t>
  </si>
  <si>
    <t>2025-07-10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</si>
  <si>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</si>
  <si>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</si>
  <si>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</si>
  <si>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</si>
  <si>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</si>
  <si>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</si>
  <si>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</si>
  <si>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</si>
  <si>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</si>
  <si>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</si>
  <si>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</si>
  <si>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</si>
  <si>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</si>
  <si>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</si>
  <si>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</si>
  <si>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</si>
  <si>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2025-08-07</t>
  </si>
  <si>
    <t>2025-08-08</t>
  </si>
  <si>
    <t>2025-08-11</t>
  </si>
  <si>
    <t>2025-08-13</t>
  </si>
  <si>
    <t>2025-08-14</t>
  </si>
  <si>
    <t>2025-08-15</t>
  </si>
  <si>
    <t>2025-08-20</t>
  </si>
  <si>
    <t>2025-08-21</t>
  </si>
  <si>
    <t>2025-08-22</t>
  </si>
  <si>
    <t>2025-08-27</t>
  </si>
  <si>
    <t>2025-08-28</t>
  </si>
  <si>
    <t>2025-08-29</t>
  </si>
  <si>
    <t>2025-09-02</t>
  </si>
  <si>
    <t>2025-09-04</t>
  </si>
  <si>
    <t>2025-09-05</t>
  </si>
  <si>
    <t>2025-09-08</t>
  </si>
  <si>
    <t>2025-09-09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</si>
  <si>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</si>
  <si>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</si>
  <si>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</si>
  <si>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</si>
  <si>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</si>
  <si>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</si>
  <si>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</si>
  <si>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</si>
  <si>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</si>
  <si>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2025-09-26</t>
  </si>
  <si>
    <t>2025-09-29</t>
  </si>
  <si>
    <t>2025-09-30</t>
  </si>
  <si>
    <t>2025-10-01</t>
  </si>
  <si>
    <t>2025-10-03</t>
  </si>
  <si>
    <t>2025-10-06</t>
  </si>
  <si>
    <t>2025-10-08</t>
  </si>
  <si>
    <t>2025-10-09</t>
  </si>
  <si>
    <t>2025-10-10</t>
  </si>
  <si>
    <t>2025-10-13</t>
  </si>
  <si>
    <t>2025-10-14</t>
  </si>
  <si>
    <t>2025-10-16</t>
  </si>
  <si>
    <t>2025-10-20</t>
  </si>
  <si>
    <t>2025-10-21</t>
  </si>
  <si>
    <t>2025-10-23</t>
  </si>
  <si>
    <t>2025-10-24</t>
  </si>
  <si>
    <t>2025-10-27</t>
  </si>
  <si>
    <t>2025-10-29</t>
  </si>
  <si>
    <t>2025-10-30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</si>
  <si>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</si>
  <si>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</si>
  <si>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</si>
  <si>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</si>
  <si>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</si>
  <si>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</si>
  <si>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</si>
  <si>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</si>
  <si>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</si>
  <si>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</si>
  <si>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</si>
  <si>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</si>
  <si>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</si>
  <si>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</si>
  <si>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2025-11-26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</si>
  <si>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</si>
  <si>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</si>
  <si>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</si>
  <si>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</si>
  <si>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</si>
  <si>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</si>
  <si>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</si>
  <si>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</si>
  <si>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</si>
  <si>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</si>
  <si>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</si>
  <si>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</si>
  <si>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</si>
  <si>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</si>
  <si>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</si>
  <si>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</si>
  <si>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</si>
  <si>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</si>
  <si>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</si>
  <si>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</si>
  <si>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</si>
  <si>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</si>
  <si>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</si>
  <si>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</si>
  <si>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</si>
  <si>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</si>
  <si>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</si>
  <si>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</si>
  <si>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</si>
  <si>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</si>
  <si>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</si>
  <si>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</si>
  <si>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</si>
  <si>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</si>
  <si>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</si>
  <si>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</si>
  <si>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</si>
  <si>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</si>
  <si>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</si>
  <si>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</si>
  <si>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</si>
  <si>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</si>
  <si>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</si>
  <si>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</si>
  <si>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</si>
  <si>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</si>
  <si>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</si>
  <si>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</si>
  <si>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</si>
  <si>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</si>
  <si>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</si>
  <si>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</si>
  <si>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</si>
  <si>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</si>
  <si>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</si>
  <si>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</si>
  <si>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</si>
  <si>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</si>
  <si>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</si>
  <si>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</si>
  <si>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</si>
  <si>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</si>
  <si>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</si>
  <si>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</si>
  <si>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</si>
  <si>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</si>
  <si>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</si>
  <si>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</si>
  <si>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</si>
  <si>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</si>
  <si>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</si>
  <si>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</si>
  <si>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</si>
  <si>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Metric</t>
  </si>
  <si>
    <t>Value</t>
  </si>
  <si>
    <t>Total Strategy Return</t>
  </si>
  <si>
    <t>Annualized Return</t>
  </si>
  <si>
    <t>Annualized Volatility</t>
  </si>
  <si>
    <t>Sharpe Ratio</t>
  </si>
  <si>
    <t>Max Drawdown</t>
  </si>
  <si>
    <t>--- Greeks vs TQQQ ---</t>
  </si>
  <si>
    <t>Beta</t>
  </si>
  <si>
    <t>Correlation</t>
  </si>
  <si>
    <t>Alpha (Annualized)</t>
  </si>
  <si>
    <t>--- Trade Stats ---</t>
  </si>
  <si>
    <t>Long USD Trades</t>
  </si>
  <si>
    <t>Long GBP Trades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</si>
</sst>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7</v>
      </c>
      <c r="B1">
        <v>20</v>
      </c>
    </row>
    <row r="2" spans="1:2">
      <c r="A2" t="s">
        <v>8</v>
      </c>
      <c r="B2">
        <v>0.75</v>
      </c>
    </row>
    <row r="3" spans="1:2">
      <c r="A3" t="s">
        <v>9</v>
      </c>
      <c r="B3">
        <v>0.25</v>
      </c>
    </row>
    <row r="4" spans="1:2">
      <c r="A4" t="s">
        <v>10</v>
      </c>
      <c r="B4">
        <v>0.0015</v>
      </c>
    </row>
    <row r="5" spans="1:2">
      <c r="A5" t="s">
        <v>11</v>
      </c>
      <c r="B5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06"/>
  <sheetViews>
    <sheetView workbookViewId="0"/>
  </sheetViews>
  <sheetFormatPr defaultRowHeight="15"/>
  <sheetData>
    <row r="1" spans="1:1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>
      <c r="A2" t="s">
        <v>25</v>
      </c>
      <c r="B2" s="2">
        <v>29.3011</v>
      </c>
      <c r="C2" s="2">
        <v>180.1231428</v>
      </c>
      <c r="D2" s="2">
        <f>B2/C2</f>
        <v>0</v>
      </c>
      <c r="E2" s="2">
        <f>D2</f>
        <v>0</v>
      </c>
      <c r="F2">
        <v>0</v>
      </c>
      <c r="H2">
        <v>0</v>
      </c>
      <c r="J2">
        <v>1</v>
      </c>
      <c r="L2">
        <v>1</v>
      </c>
    </row>
    <row r="3" spans="1:13">
      <c r="A3" t="s">
        <v>26</v>
      </c>
      <c r="B3" s="2">
        <v>29.4339</v>
      </c>
      <c r="C3" s="2">
        <v>181.5382496</v>
      </c>
      <c r="D3" s="2">
        <f>B3/C3</f>
        <v>0</v>
      </c>
      <c r="E3" s="2">
        <f>(D3*(2/(Inputs!$B$1+1)))+(E2*(1-(2/(Inputs!$B$1+1))))</f>
        <v>0</v>
      </c>
      <c r="F3" s="2">
        <f>STDEV.S(OFFSET(D3, -(MIN(Inputs!$B$1, ROW()-1)-1), 0, MIN(Inputs!$B$1, ROW()-1), 1))</f>
        <v>0</v>
      </c>
      <c r="G3" s="2">
        <f>IF(F3=0, 0, (D3-E3)/F3)</f>
        <v>0</v>
      </c>
      <c r="H3">
        <f>IF(H2=0, IF(G3&gt;Inputs!$B$2, -1, IF(G3&lt;-Inputs!$B$2, 1, 0)), IF(AND(H2=1, G3&gt;-Inputs!$B$3), 0, IF(AND(H2=-1, G3&lt;Inputs!$B$3), 0, H2)))</f>
        <v>0</v>
      </c>
      <c r="I3" s="3">
        <f>(((B3/B2)-(C3/C2))*H2)-IF(H3&lt;&gt;H2, Inputs!$B$4, 0)</f>
        <v>0</v>
      </c>
      <c r="J3" s="2">
        <f>J2*(1+I3)</f>
        <v>0</v>
      </c>
      <c r="K3" s="3">
        <f>(B3-B2)/B2</f>
        <v>0</v>
      </c>
      <c r="L3" s="2">
        <f>MAX(J$2:J3)</f>
        <v>0</v>
      </c>
      <c r="M3" s="3">
        <f>(J3-L3)/L3</f>
        <v>0</v>
      </c>
    </row>
    <row r="4" spans="1:13">
      <c r="A4" t="s">
        <v>27</v>
      </c>
      <c r="B4" s="2">
        <v>29.5913</v>
      </c>
      <c r="C4" s="2">
        <v>181.5532208</v>
      </c>
      <c r="D4" s="2">
        <f>B4/C4</f>
        <v>0</v>
      </c>
      <c r="E4" s="2">
        <f>(D4*(2/(Inputs!$B$1+1)))+(E3*(1-(2/(Inputs!$B$1+1))))</f>
        <v>0</v>
      </c>
      <c r="F4" s="2">
        <f>STDEV.S(OFFSET(D4, -(MIN(Inputs!$B$1, ROW()-1)-1), 0, MIN(Inputs!$B$1, ROW()-1), 1))</f>
        <v>0</v>
      </c>
      <c r="G4" s="2">
        <f>IF(F4=0, 0, (D4-E4)/F4)</f>
        <v>0</v>
      </c>
      <c r="H4">
        <f>IF(H3=0, IF(G4&gt;Inputs!$B$2, -1, IF(G4&lt;-Inputs!$B$2, 1, 0)), IF(AND(H3=1, G4&gt;-Inputs!$B$3), 0, IF(AND(H3=-1, G4&lt;Inputs!$B$3), 0, H3)))</f>
        <v>0</v>
      </c>
      <c r="I4" s="3">
        <f>(((B4/B3)-(C4/C3))*H3)-IF(H4&lt;&gt;H3, Inputs!$B$4, 0)</f>
        <v>0</v>
      </c>
      <c r="J4" s="2">
        <f>J3*(1+I4)</f>
        <v>0</v>
      </c>
      <c r="K4" s="3">
        <f>(B4-B3)/B3</f>
        <v>0</v>
      </c>
      <c r="L4" s="2">
        <f>MAX(J$2:J4)</f>
        <v>0</v>
      </c>
      <c r="M4" s="3">
        <f>(J4-L4)/L4</f>
        <v>0</v>
      </c>
    </row>
    <row r="5" spans="1:13">
      <c r="A5" t="s">
        <v>28</v>
      </c>
      <c r="B5" s="2">
        <v>27.3743</v>
      </c>
      <c r="C5" s="2">
        <v>168.6184734</v>
      </c>
      <c r="D5" s="2">
        <f>B5/C5</f>
        <v>0</v>
      </c>
      <c r="E5" s="2">
        <f>(D5*(2/(Inputs!$B$1+1)))+(E4*(1-(2/(Inputs!$B$1+1))))</f>
        <v>0</v>
      </c>
      <c r="F5" s="2">
        <f>STDEV.S(OFFSET(D5, -(MIN(Inputs!$B$1, ROW()-1)-1), 0, MIN(Inputs!$B$1, ROW()-1), 1))</f>
        <v>0</v>
      </c>
      <c r="G5" s="2">
        <f>IF(F5=0, 0, (D5-E5)/F5)</f>
        <v>0</v>
      </c>
      <c r="H5">
        <f>IF(H4=0, IF(G5&gt;Inputs!$B$2, -1, IF(G5&lt;-Inputs!$B$2, 1, 0)), IF(AND(H4=1, G5&gt;-Inputs!$B$3), 0, IF(AND(H4=-1, G5&lt;Inputs!$B$3), 0, H4)))</f>
        <v>0</v>
      </c>
      <c r="I5" s="3">
        <f>(((B5/B4)-(C5/C4))*H4)-IF(H5&lt;&gt;H4, Inputs!$B$4, 0)</f>
        <v>0</v>
      </c>
      <c r="J5" s="2">
        <f>J4*(1+I5)</f>
        <v>0</v>
      </c>
      <c r="K5" s="3">
        <f>(B5-B4)/B4</f>
        <v>0</v>
      </c>
      <c r="L5" s="2">
        <f>MAX(J$2:J5)</f>
        <v>0</v>
      </c>
      <c r="M5" s="3">
        <f>(J5-L5)/L5</f>
        <v>0</v>
      </c>
    </row>
    <row r="6" spans="1:13">
      <c r="A6" t="s">
        <v>29</v>
      </c>
      <c r="B6" s="2">
        <v>27.7921</v>
      </c>
      <c r="C6" s="2">
        <v>170.819488</v>
      </c>
      <c r="D6" s="2">
        <f>B6/C6</f>
        <v>0</v>
      </c>
      <c r="E6" s="2">
        <f>(D6*(2/(Inputs!$B$1+1)))+(E5*(1-(2/(Inputs!$B$1+1))))</f>
        <v>0</v>
      </c>
      <c r="F6" s="2">
        <f>STDEV.S(OFFSET(D6, -(MIN(Inputs!$B$1, ROW()-1)-1), 0, MIN(Inputs!$B$1, ROW()-1), 1))</f>
        <v>0</v>
      </c>
      <c r="G6" s="2">
        <f>IF(F6=0, 0, (D6-E6)/F6)</f>
        <v>0</v>
      </c>
      <c r="H6">
        <f>IF(H5=0, IF(G6&gt;Inputs!$B$2, -1, IF(G6&lt;-Inputs!$B$2, 1, 0)), IF(AND(H5=1, G6&gt;-Inputs!$B$3), 0, IF(AND(H5=-1, G6&lt;Inputs!$B$3), 0, H5)))</f>
        <v>0</v>
      </c>
      <c r="I6" s="3">
        <f>(((B6/B5)-(C6/C5))*H5)-IF(H6&lt;&gt;H5, Inputs!$B$4, 0)</f>
        <v>0</v>
      </c>
      <c r="J6" s="2">
        <f>J5*(1+I6)</f>
        <v>0</v>
      </c>
      <c r="K6" s="3">
        <f>(B6-B5)/B5</f>
        <v>0</v>
      </c>
      <c r="L6" s="2">
        <f>MAX(J$2:J6)</f>
        <v>0</v>
      </c>
      <c r="M6" s="3">
        <f>(J6-L6)/L6</f>
        <v>0</v>
      </c>
    </row>
    <row r="7" spans="1:13">
      <c r="A7" t="s">
        <v>30</v>
      </c>
      <c r="B7" s="2">
        <v>26.4895</v>
      </c>
      <c r="C7" s="2">
        <v>163.606365</v>
      </c>
      <c r="D7" s="2">
        <f>B7/C7</f>
        <v>0</v>
      </c>
      <c r="E7" s="2">
        <f>(D7*(2/(Inputs!$B$1+1)))+(E6*(1-(2/(Inputs!$B$1+1))))</f>
        <v>0</v>
      </c>
      <c r="F7" s="2">
        <f>STDEV.S(OFFSET(D7, -(MIN(Inputs!$B$1, ROW()-1)-1), 0, MIN(Inputs!$B$1, ROW()-1), 1))</f>
        <v>0</v>
      </c>
      <c r="G7" s="2">
        <f>IF(F7=0, 0, (D7-E7)/F7)</f>
        <v>0</v>
      </c>
      <c r="H7">
        <f>IF(H6=0, IF(G7&gt;Inputs!$B$2, -1, IF(G7&lt;-Inputs!$B$2, 1, 0)), IF(AND(H6=1, G7&gt;-Inputs!$B$3), 0, IF(AND(H6=-1, G7&lt;Inputs!$B$3), 0, H6)))</f>
        <v>0</v>
      </c>
      <c r="I7" s="3">
        <f>(((B7/B6)-(C7/C6))*H6)-IF(H7&lt;&gt;H6, Inputs!$B$4, 0)</f>
        <v>0</v>
      </c>
      <c r="J7" s="2">
        <f>J6*(1+I7)</f>
        <v>0</v>
      </c>
      <c r="K7" s="3">
        <f>(B7-B6)/B6</f>
        <v>0</v>
      </c>
      <c r="L7" s="2">
        <f>MAX(J$2:J7)</f>
        <v>0</v>
      </c>
      <c r="M7" s="3">
        <f>(J7-L7)/L7</f>
        <v>0</v>
      </c>
    </row>
    <row r="8" spans="1:13">
      <c r="A8" t="s">
        <v>31</v>
      </c>
      <c r="B8" s="2">
        <v>25.6981</v>
      </c>
      <c r="C8" s="2">
        <v>158.348736</v>
      </c>
      <c r="D8" s="2">
        <f>B8/C8</f>
        <v>0</v>
      </c>
      <c r="E8" s="2">
        <f>(D8*(2/(Inputs!$B$1+1)))+(E7*(1-(2/(Inputs!$B$1+1))))</f>
        <v>0</v>
      </c>
      <c r="F8" s="2">
        <f>STDEV.S(OFFSET(D8, -(MIN(Inputs!$B$1, ROW()-1)-1), 0, MIN(Inputs!$B$1, ROW()-1), 1))</f>
        <v>0</v>
      </c>
      <c r="G8" s="2">
        <f>IF(F8=0, 0, (D8-E8)/F8)</f>
        <v>0</v>
      </c>
      <c r="H8">
        <f>IF(H7=0, IF(G8&gt;Inputs!$B$2, -1, IF(G8&lt;-Inputs!$B$2, 1, 0)), IF(AND(H7=1, G8&gt;-Inputs!$B$3), 0, IF(AND(H7=-1, G8&lt;Inputs!$B$3), 0, H7)))</f>
        <v>0</v>
      </c>
      <c r="I8" s="3">
        <f>(((B8/B7)-(C8/C7))*H7)-IF(H8&lt;&gt;H7, Inputs!$B$4, 0)</f>
        <v>0</v>
      </c>
      <c r="J8" s="2">
        <f>J7*(1+I8)</f>
        <v>0</v>
      </c>
      <c r="K8" s="3">
        <f>(B8-B7)/B7</f>
        <v>0</v>
      </c>
      <c r="L8" s="2">
        <f>MAX(J$2:J8)</f>
        <v>0</v>
      </c>
      <c r="M8" s="3">
        <f>(J8-L8)/L8</f>
        <v>0</v>
      </c>
    </row>
    <row r="9" spans="1:13">
      <c r="A9" t="s">
        <v>32</v>
      </c>
      <c r="B9" s="2">
        <v>24.7642</v>
      </c>
      <c r="C9" s="2">
        <v>153.275685</v>
      </c>
      <c r="D9" s="2">
        <f>B9/C9</f>
        <v>0</v>
      </c>
      <c r="E9" s="2">
        <f>(D9*(2/(Inputs!$B$1+1)))+(E8*(1-(2/(Inputs!$B$1+1))))</f>
        <v>0</v>
      </c>
      <c r="F9" s="2">
        <f>STDEV.S(OFFSET(D9, -(MIN(Inputs!$B$1, ROW()-1)-1), 0, MIN(Inputs!$B$1, ROW()-1), 1))</f>
        <v>0</v>
      </c>
      <c r="G9" s="2">
        <f>IF(F9=0, 0, (D9-E9)/F9)</f>
        <v>0</v>
      </c>
      <c r="H9">
        <f>IF(H8=0, IF(G9&gt;Inputs!$B$2, -1, IF(G9&lt;-Inputs!$B$2, 1, 0)), IF(AND(H8=1, G9&gt;-Inputs!$B$3), 0, IF(AND(H8=-1, G9&lt;Inputs!$B$3), 0, H8)))</f>
        <v>0</v>
      </c>
      <c r="I9" s="3">
        <f>(((B9/B8)-(C9/C8))*H8)-IF(H9&lt;&gt;H8, Inputs!$B$4, 0)</f>
        <v>0</v>
      </c>
      <c r="J9" s="2">
        <f>J8*(1+I9)</f>
        <v>0</v>
      </c>
      <c r="K9" s="3">
        <f>(B9-B8)/B8</f>
        <v>0</v>
      </c>
      <c r="L9" s="2">
        <f>MAX(J$2:J9)</f>
        <v>0</v>
      </c>
      <c r="M9" s="3">
        <f>(J9-L9)/L9</f>
        <v>0</v>
      </c>
    </row>
    <row r="10" spans="1:13">
      <c r="A10" t="s">
        <v>33</v>
      </c>
      <c r="B10" s="2">
        <v>25.3737</v>
      </c>
      <c r="C10" s="2">
        <v>156.1129491</v>
      </c>
      <c r="D10" s="2">
        <f>B10/C10</f>
        <v>0</v>
      </c>
      <c r="E10" s="2">
        <f>(D10*(2/(Inputs!$B$1+1)))+(E9*(1-(2/(Inputs!$B$1+1))))</f>
        <v>0</v>
      </c>
      <c r="F10" s="2">
        <f>STDEV.S(OFFSET(D10, -(MIN(Inputs!$B$1, ROW()-1)-1), 0, MIN(Inputs!$B$1, ROW()-1), 1))</f>
        <v>0</v>
      </c>
      <c r="G10" s="2">
        <f>IF(F10=0, 0, (D10-E10)/F10)</f>
        <v>0</v>
      </c>
      <c r="H10">
        <f>IF(H9=0, IF(G10&gt;Inputs!$B$2, -1, IF(G10&lt;-Inputs!$B$2, 1, 0)), IF(AND(H9=1, G10&gt;-Inputs!$B$3), 0, IF(AND(H9=-1, G10&lt;Inputs!$B$3), 0, H9)))</f>
        <v>0</v>
      </c>
      <c r="I10" s="3">
        <f>(((B10/B9)-(C10/C9))*H9)-IF(H10&lt;&gt;H9, Inputs!$B$4, 0)</f>
        <v>0</v>
      </c>
      <c r="J10" s="2">
        <f>J9*(1+I10)</f>
        <v>0</v>
      </c>
      <c r="K10" s="3">
        <f>(B10-B9)/B9</f>
        <v>0</v>
      </c>
      <c r="L10" s="2">
        <f>MAX(J$2:J10)</f>
        <v>0</v>
      </c>
      <c r="M10" s="3">
        <f>(J10-L10)/L10</f>
        <v>0</v>
      </c>
    </row>
    <row r="11" spans="1:13">
      <c r="A11" t="s">
        <v>34</v>
      </c>
      <c r="B11" s="2">
        <v>26.7008</v>
      </c>
      <c r="C11" s="2">
        <v>163.73672</v>
      </c>
      <c r="D11" s="2">
        <f>B11/C11</f>
        <v>0</v>
      </c>
      <c r="E11" s="2">
        <f>(D11*(2/(Inputs!$B$1+1)))+(E10*(1-(2/(Inputs!$B$1+1))))</f>
        <v>0</v>
      </c>
      <c r="F11" s="2">
        <f>STDEV.S(OFFSET(D11, -(MIN(Inputs!$B$1, ROW()-1)-1), 0, MIN(Inputs!$B$1, ROW()-1), 1))</f>
        <v>0</v>
      </c>
      <c r="G11" s="2">
        <f>IF(F11=0, 0, (D11-E11)/F11)</f>
        <v>0</v>
      </c>
      <c r="H11">
        <f>IF(H10=0, IF(G11&gt;Inputs!$B$2, -1, IF(G11&lt;-Inputs!$B$2, 1, 0)), IF(AND(H10=1, G11&gt;-Inputs!$B$3), 0, IF(AND(H10=-1, G11&lt;Inputs!$B$3), 0, H10)))</f>
        <v>0</v>
      </c>
      <c r="I11" s="3">
        <f>(((B11/B10)-(C11/C10))*H10)-IF(H11&lt;&gt;H10, Inputs!$B$4, 0)</f>
        <v>0</v>
      </c>
      <c r="J11" s="2">
        <f>J10*(1+I11)</f>
        <v>0</v>
      </c>
      <c r="K11" s="3">
        <f>(B11-B10)/B10</f>
        <v>0</v>
      </c>
      <c r="L11" s="2">
        <f>MAX(J$2:J11)</f>
        <v>0</v>
      </c>
      <c r="M11" s="3">
        <f>(J11-L11)/L11</f>
        <v>0</v>
      </c>
    </row>
    <row r="12" spans="1:13">
      <c r="A12" t="s">
        <v>35</v>
      </c>
      <c r="B12" s="2">
        <v>25.0197</v>
      </c>
      <c r="C12" s="2">
        <v>154.2329046</v>
      </c>
      <c r="D12" s="2">
        <f>B12/C12</f>
        <v>0</v>
      </c>
      <c r="E12" s="2">
        <f>(D12*(2/(Inputs!$B$1+1)))+(E11*(1-(2/(Inputs!$B$1+1))))</f>
        <v>0</v>
      </c>
      <c r="F12" s="2">
        <f>STDEV.S(OFFSET(D12, -(MIN(Inputs!$B$1, ROW()-1)-1), 0, MIN(Inputs!$B$1, ROW()-1), 1))</f>
        <v>0</v>
      </c>
      <c r="G12" s="2">
        <f>IF(F12=0, 0, (D12-E12)/F12)</f>
        <v>0</v>
      </c>
      <c r="H12">
        <f>IF(H11=0, IF(G12&gt;Inputs!$B$2, -1, IF(G12&lt;-Inputs!$B$2, 1, 0)), IF(AND(H11=1, G12&gt;-Inputs!$B$3), 0, IF(AND(H11=-1, G12&lt;Inputs!$B$3), 0, H11)))</f>
        <v>0</v>
      </c>
      <c r="I12" s="3">
        <f>(((B12/B11)-(C12/C11))*H11)-IF(H12&lt;&gt;H11, Inputs!$B$4, 0)</f>
        <v>0</v>
      </c>
      <c r="J12" s="2">
        <f>J11*(1+I12)</f>
        <v>0</v>
      </c>
      <c r="K12" s="3">
        <f>(B12-B11)/B11</f>
        <v>0</v>
      </c>
      <c r="L12" s="2">
        <f>MAX(J$2:J12)</f>
        <v>0</v>
      </c>
      <c r="M12" s="3">
        <f>(J12-L12)/L12</f>
        <v>0</v>
      </c>
    </row>
    <row r="13" spans="1:13">
      <c r="A13" t="s">
        <v>36</v>
      </c>
      <c r="B13" s="2">
        <v>26.5584</v>
      </c>
      <c r="C13" s="2">
        <v>164.7257534</v>
      </c>
      <c r="D13" s="2">
        <f>B13/C13</f>
        <v>0</v>
      </c>
      <c r="E13" s="2">
        <f>(D13*(2/(Inputs!$B$1+1)))+(E12*(1-(2/(Inputs!$B$1+1))))</f>
        <v>0</v>
      </c>
      <c r="F13" s="2">
        <f>STDEV.S(OFFSET(D13, -(MIN(Inputs!$B$1, ROW()-1)-1), 0, MIN(Inputs!$B$1, ROW()-1), 1))</f>
        <v>0</v>
      </c>
      <c r="G13" s="2">
        <f>IF(F13=0, 0, (D13-E13)/F13)</f>
        <v>0</v>
      </c>
      <c r="H13">
        <f>IF(H12=0, IF(G13&gt;Inputs!$B$2, -1, IF(G13&lt;-Inputs!$B$2, 1, 0)), IF(AND(H12=1, G13&gt;-Inputs!$B$3), 0, IF(AND(H12=-1, G13&lt;Inputs!$B$3), 0, H12)))</f>
        <v>0</v>
      </c>
      <c r="I13" s="3">
        <f>(((B13/B12)-(C13/C12))*H12)-IF(H13&lt;&gt;H12, Inputs!$B$4, 0)</f>
        <v>0</v>
      </c>
      <c r="J13" s="2">
        <f>J12*(1+I13)</f>
        <v>0</v>
      </c>
      <c r="K13" s="3">
        <f>(B13-B12)/B12</f>
        <v>0</v>
      </c>
      <c r="L13" s="2">
        <f>MAX(J$2:J13)</f>
        <v>0</v>
      </c>
      <c r="M13" s="3">
        <f>(J13-L13)/L13</f>
        <v>0</v>
      </c>
    </row>
    <row r="14" spans="1:13">
      <c r="A14" t="s">
        <v>37</v>
      </c>
      <c r="B14" s="2">
        <v>27.1825</v>
      </c>
      <c r="C14" s="2">
        <v>170.27064</v>
      </c>
      <c r="D14" s="2">
        <f>B14/C14</f>
        <v>0</v>
      </c>
      <c r="E14" s="2">
        <f>(D14*(2/(Inputs!$B$1+1)))+(E13*(1-(2/(Inputs!$B$1+1))))</f>
        <v>0</v>
      </c>
      <c r="F14" s="2">
        <f>STDEV.S(OFFSET(D14, -(MIN(Inputs!$B$1, ROW()-1)-1), 0, MIN(Inputs!$B$1, ROW()-1), 1))</f>
        <v>0</v>
      </c>
      <c r="G14" s="2">
        <f>IF(F14=0, 0, (D14-E14)/F14)</f>
        <v>0</v>
      </c>
      <c r="H14">
        <f>IF(H13=0, IF(G14&gt;Inputs!$B$2, -1, IF(G14&lt;-Inputs!$B$2, 1, 0)), IF(AND(H13=1, G14&gt;-Inputs!$B$3), 0, IF(AND(H13=-1, G14&lt;Inputs!$B$3), 0, H13)))</f>
        <v>0</v>
      </c>
      <c r="I14" s="3">
        <f>(((B14/B13)-(C14/C13))*H13)-IF(H14&lt;&gt;H13, Inputs!$B$4, 0)</f>
        <v>0</v>
      </c>
      <c r="J14" s="2">
        <f>J13*(1+I14)</f>
        <v>0</v>
      </c>
      <c r="K14" s="3">
        <f>(B14-B13)/B13</f>
        <v>0</v>
      </c>
      <c r="L14" s="2">
        <f>MAX(J$2:J14)</f>
        <v>0</v>
      </c>
      <c r="M14" s="3">
        <f>(J14-L14)/L14</f>
        <v>0</v>
      </c>
    </row>
    <row r="15" spans="1:13">
      <c r="A15" t="s">
        <v>38</v>
      </c>
      <c r="B15" s="2">
        <v>25.6341</v>
      </c>
      <c r="C15" s="2">
        <v>158.467644</v>
      </c>
      <c r="D15" s="2">
        <f>B15/C15</f>
        <v>0</v>
      </c>
      <c r="E15" s="2">
        <f>(D15*(2/(Inputs!$B$1+1)))+(E14*(1-(2/(Inputs!$B$1+1))))</f>
        <v>0</v>
      </c>
      <c r="F15" s="2">
        <f>STDEV.S(OFFSET(D15, -(MIN(Inputs!$B$1, ROW()-1)-1), 0, MIN(Inputs!$B$1, ROW()-1), 1))</f>
        <v>0</v>
      </c>
      <c r="G15" s="2">
        <f>IF(F15=0, 0, (D15-E15)/F15)</f>
        <v>0</v>
      </c>
      <c r="H15">
        <f>IF(H14=0, IF(G15&gt;Inputs!$B$2, -1, IF(G15&lt;-Inputs!$B$2, 1, 0)), IF(AND(H14=1, G15&gt;-Inputs!$B$3), 0, IF(AND(H14=-1, G15&lt;Inputs!$B$3), 0, H14)))</f>
        <v>0</v>
      </c>
      <c r="I15" s="3">
        <f>(((B15/B14)-(C15/C14))*H14)-IF(H15&lt;&gt;H14, Inputs!$B$4, 0)</f>
        <v>0</v>
      </c>
      <c r="J15" s="2">
        <f>J14*(1+I15)</f>
        <v>0</v>
      </c>
      <c r="K15" s="3">
        <f>(B15-B14)/B14</f>
        <v>0</v>
      </c>
      <c r="L15" s="2">
        <f>MAX(J$2:J15)</f>
        <v>0</v>
      </c>
      <c r="M15" s="3">
        <f>(J15-L15)/L15</f>
        <v>0</v>
      </c>
    </row>
    <row r="16" spans="1:13">
      <c r="A16" t="s">
        <v>39</v>
      </c>
      <c r="B16" s="2">
        <v>26.0127</v>
      </c>
      <c r="C16" s="2">
        <v>160.382288</v>
      </c>
      <c r="D16" s="2">
        <f>B16/C16</f>
        <v>0</v>
      </c>
      <c r="E16" s="2">
        <f>(D16*(2/(Inputs!$B$1+1)))+(E15*(1-(2/(Inputs!$B$1+1))))</f>
        <v>0</v>
      </c>
      <c r="F16" s="2">
        <f>STDEV.S(OFFSET(D16, -(MIN(Inputs!$B$1, ROW()-1)-1), 0, MIN(Inputs!$B$1, ROW()-1), 1))</f>
        <v>0</v>
      </c>
      <c r="G16" s="2">
        <f>IF(F16=0, 0, (D16-E16)/F16)</f>
        <v>0</v>
      </c>
      <c r="H16">
        <f>IF(H15=0, IF(G16&gt;Inputs!$B$2, -1, IF(G16&lt;-Inputs!$B$2, 1, 0)), IF(AND(H15=1, G16&gt;-Inputs!$B$3), 0, IF(AND(H15=-1, G16&lt;Inputs!$B$3), 0, H15)))</f>
        <v>0</v>
      </c>
      <c r="I16" s="3">
        <f>(((B16/B15)-(C16/C15))*H15)-IF(H16&lt;&gt;H15, Inputs!$B$4, 0)</f>
        <v>0</v>
      </c>
      <c r="J16" s="2">
        <f>J15*(1+I16)</f>
        <v>0</v>
      </c>
      <c r="K16" s="3">
        <f>(B16-B15)/B15</f>
        <v>0</v>
      </c>
      <c r="L16" s="2">
        <f>MAX(J$2:J16)</f>
        <v>0</v>
      </c>
      <c r="M16" s="3">
        <f>(J16-L16)/L16</f>
        <v>0</v>
      </c>
    </row>
    <row r="17" spans="1:13">
      <c r="A17" t="s">
        <v>40</v>
      </c>
      <c r="B17" s="2">
        <v>27.6888</v>
      </c>
      <c r="C17" s="2">
        <v>169.9189698</v>
      </c>
      <c r="D17" s="2">
        <f>B17/C17</f>
        <v>0</v>
      </c>
      <c r="E17" s="2">
        <f>(D17*(2/(Inputs!$B$1+1)))+(E16*(1-(2/(Inputs!$B$1+1))))</f>
        <v>0</v>
      </c>
      <c r="F17" s="2">
        <f>STDEV.S(OFFSET(D17, -(MIN(Inputs!$B$1, ROW()-1)-1), 0, MIN(Inputs!$B$1, ROW()-1), 1))</f>
        <v>0</v>
      </c>
      <c r="G17" s="2">
        <f>IF(F17=0, 0, (D17-E17)/F17)</f>
        <v>0</v>
      </c>
      <c r="H17">
        <f>IF(H16=0, IF(G17&gt;Inputs!$B$2, -1, IF(G17&lt;-Inputs!$B$2, 1, 0)), IF(AND(H16=1, G17&gt;-Inputs!$B$3), 0, IF(AND(H16=-1, G17&lt;Inputs!$B$3), 0, H16)))</f>
        <v>0</v>
      </c>
      <c r="I17" s="3">
        <f>(((B17/B16)-(C17/C16))*H16)-IF(H17&lt;&gt;H16, Inputs!$B$4, 0)</f>
        <v>0</v>
      </c>
      <c r="J17" s="2">
        <f>J16*(1+I17)</f>
        <v>0</v>
      </c>
      <c r="K17" s="3">
        <f>(B17-B16)/B16</f>
        <v>0</v>
      </c>
      <c r="L17" s="2">
        <f>MAX(J$2:J17)</f>
        <v>0</v>
      </c>
      <c r="M17" s="3">
        <f>(J17-L17)/L17</f>
        <v>0</v>
      </c>
    </row>
    <row r="18" spans="1:13">
      <c r="A18" t="s">
        <v>41</v>
      </c>
      <c r="B18" s="2">
        <v>28.8636</v>
      </c>
      <c r="C18" s="2">
        <v>177.950115</v>
      </c>
      <c r="D18" s="2">
        <f>B18/C18</f>
        <v>0</v>
      </c>
      <c r="E18" s="2">
        <f>(D18*(2/(Inputs!$B$1+1)))+(E17*(1-(2/(Inputs!$B$1+1))))</f>
        <v>0</v>
      </c>
      <c r="F18" s="2">
        <f>STDEV.S(OFFSET(D18, -(MIN(Inputs!$B$1, ROW()-1)-1), 0, MIN(Inputs!$B$1, ROW()-1), 1))</f>
        <v>0</v>
      </c>
      <c r="G18" s="2">
        <f>IF(F18=0, 0, (D18-E18)/F18)</f>
        <v>0</v>
      </c>
      <c r="H18">
        <f>IF(H17=0, IF(G18&gt;Inputs!$B$2, -1, IF(G18&lt;-Inputs!$B$2, 1, 0)), IF(AND(H17=1, G18&gt;-Inputs!$B$3), 0, IF(AND(H17=-1, G18&lt;Inputs!$B$3), 0, H17)))</f>
        <v>0</v>
      </c>
      <c r="I18" s="3">
        <f>(((B18/B17)-(C18/C17))*H17)-IF(H18&lt;&gt;H17, Inputs!$B$4, 0)</f>
        <v>0</v>
      </c>
      <c r="J18" s="2">
        <f>J17*(1+I18)</f>
        <v>0</v>
      </c>
      <c r="K18" s="3">
        <f>(B18-B17)/B17</f>
        <v>0</v>
      </c>
      <c r="L18" s="2">
        <f>MAX(J$2:J18)</f>
        <v>0</v>
      </c>
      <c r="M18" s="3">
        <f>(J18-L18)/L18</f>
        <v>0</v>
      </c>
    </row>
    <row r="19" spans="1:13">
      <c r="A19" t="s">
        <v>42</v>
      </c>
      <c r="B19" s="2">
        <v>28.264</v>
      </c>
      <c r="C19" s="2">
        <v>174.7061201</v>
      </c>
      <c r="D19" s="2">
        <f>B19/C19</f>
        <v>0</v>
      </c>
      <c r="E19" s="2">
        <f>(D19*(2/(Inputs!$B$1+1)))+(E18*(1-(2/(Inputs!$B$1+1))))</f>
        <v>0</v>
      </c>
      <c r="F19" s="2">
        <f>STDEV.S(OFFSET(D19, -(MIN(Inputs!$B$1, ROW()-1)-1), 0, MIN(Inputs!$B$1, ROW()-1), 1))</f>
        <v>0</v>
      </c>
      <c r="G19" s="2">
        <f>IF(F19=0, 0, (D19-E19)/F19)</f>
        <v>0</v>
      </c>
      <c r="H19">
        <f>IF(H18=0, IF(G19&gt;Inputs!$B$2, -1, IF(G19&lt;-Inputs!$B$2, 1, 0)), IF(AND(H18=1, G19&gt;-Inputs!$B$3), 0, IF(AND(H18=-1, G19&lt;Inputs!$B$3), 0, H18)))</f>
        <v>0</v>
      </c>
      <c r="I19" s="3">
        <f>(((B19/B18)-(C19/C18))*H18)-IF(H19&lt;&gt;H18, Inputs!$B$4, 0)</f>
        <v>0</v>
      </c>
      <c r="J19" s="2">
        <f>J18*(1+I19)</f>
        <v>0</v>
      </c>
      <c r="K19" s="3">
        <f>(B19-B18)/B18</f>
        <v>0</v>
      </c>
      <c r="L19" s="2">
        <f>MAX(J$2:J19)</f>
        <v>0</v>
      </c>
      <c r="M19" s="3">
        <f>(J19-L19)/L19</f>
        <v>0</v>
      </c>
    </row>
    <row r="20" spans="1:13">
      <c r="A20" t="s">
        <v>43</v>
      </c>
      <c r="B20" s="2">
        <v>29.1782</v>
      </c>
      <c r="C20" s="2">
        <v>181.3383225</v>
      </c>
      <c r="D20" s="2">
        <f>B20/C20</f>
        <v>0</v>
      </c>
      <c r="E20" s="2">
        <f>(D20*(2/(Inputs!$B$1+1)))+(E19*(1-(2/(Inputs!$B$1+1))))</f>
        <v>0</v>
      </c>
      <c r="F20" s="2">
        <f>STDEV.S(OFFSET(D20, -(MIN(Inputs!$B$1, ROW()-1)-1), 0, MIN(Inputs!$B$1, ROW()-1), 1))</f>
        <v>0</v>
      </c>
      <c r="G20" s="2">
        <f>IF(F20=0, 0, (D20-E20)/F20)</f>
        <v>0</v>
      </c>
      <c r="H20">
        <f>IF(H19=0, IF(G20&gt;Inputs!$B$2, -1, IF(G20&lt;-Inputs!$B$2, 1, 0)), IF(AND(H19=1, G20&gt;-Inputs!$B$3), 0, IF(AND(H19=-1, G20&lt;Inputs!$B$3), 0, H19)))</f>
        <v>0</v>
      </c>
      <c r="I20" s="3">
        <f>(((B20/B19)-(C20/C19))*H19)-IF(H20&lt;&gt;H19, Inputs!$B$4, 0)</f>
        <v>0</v>
      </c>
      <c r="J20" s="2">
        <f>J19*(1+I20)</f>
        <v>0</v>
      </c>
      <c r="K20" s="3">
        <f>(B20-B19)/B19</f>
        <v>0</v>
      </c>
      <c r="L20" s="2">
        <f>MAX(J$2:J20)</f>
        <v>0</v>
      </c>
      <c r="M20" s="3">
        <f>(J20-L20)/L20</f>
        <v>0</v>
      </c>
    </row>
    <row r="21" spans="1:13">
      <c r="A21" t="s">
        <v>44</v>
      </c>
      <c r="B21" s="2">
        <v>29.4535</v>
      </c>
      <c r="C21" s="2">
        <v>180.844068</v>
      </c>
      <c r="D21" s="2">
        <f>B21/C21</f>
        <v>0</v>
      </c>
      <c r="E21" s="2">
        <f>(D21*(2/(Inputs!$B$1+1)))+(E20*(1-(2/(Inputs!$B$1+1))))</f>
        <v>0</v>
      </c>
      <c r="F21" s="2">
        <f>STDEV.S(OFFSET(D21, -(MIN(Inputs!$B$1, ROW()-1)-1), 0, MIN(Inputs!$B$1, ROW()-1), 1))</f>
        <v>0</v>
      </c>
      <c r="G21" s="2">
        <f>IF(F21=0, 0, (D21-E21)/F21)</f>
        <v>0</v>
      </c>
      <c r="H21">
        <f>IF(H20=0, IF(G21&gt;Inputs!$B$2, -1, IF(G21&lt;-Inputs!$B$2, 1, 0)), IF(AND(H20=1, G21&gt;-Inputs!$B$3), 0, IF(AND(H20=-1, G21&lt;Inputs!$B$3), 0, H20)))</f>
        <v>0</v>
      </c>
      <c r="I21" s="3">
        <f>(((B21/B20)-(C21/C20))*H20)-IF(H21&lt;&gt;H20, Inputs!$B$4, 0)</f>
        <v>0</v>
      </c>
      <c r="J21" s="2">
        <f>J20*(1+I21)</f>
        <v>0</v>
      </c>
      <c r="K21" s="3">
        <f>(B21-B20)/B20</f>
        <v>0</v>
      </c>
      <c r="L21" s="2">
        <f>MAX(J$2:J21)</f>
        <v>0</v>
      </c>
      <c r="M21" s="3">
        <f>(J21-L21)/L21</f>
        <v>0</v>
      </c>
    </row>
    <row r="22" spans="1:13">
      <c r="A22" t="s">
        <v>45</v>
      </c>
      <c r="B22" s="2">
        <v>29.1782</v>
      </c>
      <c r="C22" s="2">
        <v>178.9723981</v>
      </c>
      <c r="D22" s="2">
        <f>B22/C22</f>
        <v>0</v>
      </c>
      <c r="E22" s="2">
        <f>(D22*(2/(Inputs!$B$1+1)))+(E21*(1-(2/(Inputs!$B$1+1))))</f>
        <v>0</v>
      </c>
      <c r="F22" s="2">
        <f>STDEV.S(OFFSET(D22, -(MIN(Inputs!$B$1, ROW()-1)-1), 0, MIN(Inputs!$B$1, ROW()-1), 1))</f>
        <v>0</v>
      </c>
      <c r="G22" s="2">
        <f>IF(F22=0, 0, (D22-E22)/F22)</f>
        <v>0</v>
      </c>
      <c r="H22">
        <f>IF(H21=0, IF(G22&gt;Inputs!$B$2, -1, IF(G22&lt;-Inputs!$B$2, 1, 0)), IF(AND(H21=1, G22&gt;-Inputs!$B$3), 0, IF(AND(H21=-1, G22&lt;Inputs!$B$3), 0, H21)))</f>
        <v>0</v>
      </c>
      <c r="I22" s="3">
        <f>(((B22/B21)-(C22/C21))*H21)-IF(H22&lt;&gt;H21, Inputs!$B$4, 0)</f>
        <v>0</v>
      </c>
      <c r="J22" s="2">
        <f>J21*(1+I22)</f>
        <v>0</v>
      </c>
      <c r="K22" s="3">
        <f>(B22-B21)/B21</f>
        <v>0</v>
      </c>
      <c r="L22" s="2">
        <f>MAX(J$2:J22)</f>
        <v>0</v>
      </c>
      <c r="M22" s="3">
        <f>(J22-L22)/L22</f>
        <v>0</v>
      </c>
    </row>
    <row r="23" spans="1:13">
      <c r="A23" t="s">
        <v>46</v>
      </c>
      <c r="B23" s="2">
        <v>30.9772</v>
      </c>
      <c r="C23" s="2">
        <v>191.8268858</v>
      </c>
      <c r="D23" s="2">
        <f>B23/C23</f>
        <v>0</v>
      </c>
      <c r="E23" s="2">
        <f>(D23*(2/(Inputs!$B$1+1)))+(E22*(1-(2/(Inputs!$B$1+1))))</f>
        <v>0</v>
      </c>
      <c r="F23" s="2">
        <f>STDEV.S(OFFSET(D23, -(MIN(Inputs!$B$1, ROW()-1)-1), 0, MIN(Inputs!$B$1, ROW()-1), 1))</f>
        <v>0</v>
      </c>
      <c r="G23" s="2">
        <f>IF(F23=0, 0, (D23-E23)/F23)</f>
        <v>0</v>
      </c>
      <c r="H23">
        <f>IF(H22=0, IF(G23&gt;Inputs!$B$2, -1, IF(G23&lt;-Inputs!$B$2, 1, 0)), IF(AND(H22=1, G23&gt;-Inputs!$B$3), 0, IF(AND(H22=-1, G23&lt;Inputs!$B$3), 0, H22)))</f>
        <v>0</v>
      </c>
      <c r="I23" s="3">
        <f>(((B23/B22)-(C23/C22))*H22)-IF(H23&lt;&gt;H22, Inputs!$B$4, 0)</f>
        <v>0</v>
      </c>
      <c r="J23" s="2">
        <f>J22*(1+I23)</f>
        <v>0</v>
      </c>
      <c r="K23" s="3">
        <f>(B23-B22)/B22</f>
        <v>0</v>
      </c>
      <c r="L23" s="2">
        <f>MAX(J$2:J23)</f>
        <v>0</v>
      </c>
      <c r="M23" s="3">
        <f>(J23-L23)/L23</f>
        <v>0</v>
      </c>
    </row>
    <row r="24" spans="1:13">
      <c r="A24" t="s">
        <v>47</v>
      </c>
      <c r="B24" s="2">
        <v>31.7984</v>
      </c>
      <c r="C24" s="2">
        <v>195.3421183</v>
      </c>
      <c r="D24" s="2">
        <f>B24/C24</f>
        <v>0</v>
      </c>
      <c r="E24" s="2">
        <f>(D24*(2/(Inputs!$B$1+1)))+(E23*(1-(2/(Inputs!$B$1+1))))</f>
        <v>0</v>
      </c>
      <c r="F24" s="2">
        <f>STDEV.S(OFFSET(D24, -(MIN(Inputs!$B$1, ROW()-1)-1), 0, MIN(Inputs!$B$1, ROW()-1), 1))</f>
        <v>0</v>
      </c>
      <c r="G24" s="2">
        <f>IF(F24=0, 0, (D24-E24)/F24)</f>
        <v>0</v>
      </c>
      <c r="H24">
        <f>IF(H23=0, IF(G24&gt;Inputs!$B$2, -1, IF(G24&lt;-Inputs!$B$2, 1, 0)), IF(AND(H23=1, G24&gt;-Inputs!$B$3), 0, IF(AND(H23=-1, G24&lt;Inputs!$B$3), 0, H23)))</f>
        <v>0</v>
      </c>
      <c r="I24" s="3">
        <f>(((B24/B23)-(C24/C23))*H23)-IF(H24&lt;&gt;H23, Inputs!$B$4, 0)</f>
        <v>0</v>
      </c>
      <c r="J24" s="2">
        <f>J23*(1+I24)</f>
        <v>0</v>
      </c>
      <c r="K24" s="3">
        <f>(B24-B23)/B23</f>
        <v>0</v>
      </c>
      <c r="L24" s="2">
        <f>MAX(J$2:J24)</f>
        <v>0</v>
      </c>
      <c r="M24" s="3">
        <f>(J24-L24)/L24</f>
        <v>0</v>
      </c>
    </row>
    <row r="25" spans="1:13">
      <c r="A25" t="s">
        <v>48</v>
      </c>
      <c r="B25" s="2">
        <v>32.6879</v>
      </c>
      <c r="C25" s="2">
        <v>199.89397</v>
      </c>
      <c r="D25" s="2">
        <f>B25/C25</f>
        <v>0</v>
      </c>
      <c r="E25" s="2">
        <f>(D25*(2/(Inputs!$B$1+1)))+(E24*(1-(2/(Inputs!$B$1+1))))</f>
        <v>0</v>
      </c>
      <c r="F25" s="2">
        <f>STDEV.S(OFFSET(D25, -(MIN(Inputs!$B$1, ROW()-1)-1), 0, MIN(Inputs!$B$1, ROW()-1), 1))</f>
        <v>0</v>
      </c>
      <c r="G25" s="2">
        <f>IF(F25=0, 0, (D25-E25)/F25)</f>
        <v>0</v>
      </c>
      <c r="H25">
        <f>IF(H24=0, IF(G25&gt;Inputs!$B$2, -1, IF(G25&lt;-Inputs!$B$2, 1, 0)), IF(AND(H24=1, G25&gt;-Inputs!$B$3), 0, IF(AND(H24=-1, G25&lt;Inputs!$B$3), 0, H24)))</f>
        <v>0</v>
      </c>
      <c r="I25" s="3">
        <f>(((B25/B24)-(C25/C24))*H24)-IF(H25&lt;&gt;H24, Inputs!$B$4, 0)</f>
        <v>0</v>
      </c>
      <c r="J25" s="2">
        <f>J24*(1+I25)</f>
        <v>0</v>
      </c>
      <c r="K25" s="3">
        <f>(B25-B24)/B24</f>
        <v>0</v>
      </c>
      <c r="L25" s="2">
        <f>MAX(J$2:J25)</f>
        <v>0</v>
      </c>
      <c r="M25" s="3">
        <f>(J25-L25)/L25</f>
        <v>0</v>
      </c>
    </row>
    <row r="26" spans="1:13">
      <c r="A26" t="s">
        <v>49</v>
      </c>
      <c r="B26" s="2">
        <v>31.577</v>
      </c>
      <c r="C26" s="2">
        <v>194.15733</v>
      </c>
      <c r="D26" s="2">
        <f>B26/C26</f>
        <v>0</v>
      </c>
      <c r="E26" s="2">
        <f>(D26*(2/(Inputs!$B$1+1)))+(E25*(1-(2/(Inputs!$B$1+1))))</f>
        <v>0</v>
      </c>
      <c r="F26" s="2">
        <f>STDEV.S(OFFSET(D26, -(MIN(Inputs!$B$1, ROW()-1)-1), 0, MIN(Inputs!$B$1, ROW()-1), 1))</f>
        <v>0</v>
      </c>
      <c r="G26" s="2">
        <f>IF(F26=0, 0, (D26-E26)/F26)</f>
        <v>0</v>
      </c>
      <c r="H26">
        <f>IF(H25=0, IF(G26&gt;Inputs!$B$2, -1, IF(G26&lt;-Inputs!$B$2, 1, 0)), IF(AND(H25=1, G26&gt;-Inputs!$B$3), 0, IF(AND(H25=-1, G26&lt;Inputs!$B$3), 0, H25)))</f>
        <v>0</v>
      </c>
      <c r="I26" s="3">
        <f>(((B26/B25)-(C26/C25))*H25)-IF(H26&lt;&gt;H25, Inputs!$B$4, 0)</f>
        <v>0</v>
      </c>
      <c r="J26" s="2">
        <f>J25*(1+I26)</f>
        <v>0</v>
      </c>
      <c r="K26" s="3">
        <f>(B26-B25)/B25</f>
        <v>0</v>
      </c>
      <c r="L26" s="2">
        <f>MAX(J$2:J26)</f>
        <v>0</v>
      </c>
      <c r="M26" s="3">
        <f>(J26-L26)/L26</f>
        <v>0</v>
      </c>
    </row>
    <row r="27" spans="1:13">
      <c r="A27" t="s">
        <v>50</v>
      </c>
      <c r="B27" s="2">
        <v>30.7708</v>
      </c>
      <c r="C27" s="2">
        <v>189.1467974</v>
      </c>
      <c r="D27" s="2">
        <f>B27/C27</f>
        <v>0</v>
      </c>
      <c r="E27" s="2">
        <f>(D27*(2/(Inputs!$B$1+1)))+(E26*(1-(2/(Inputs!$B$1+1))))</f>
        <v>0</v>
      </c>
      <c r="F27" s="2">
        <f>STDEV.S(OFFSET(D27, -(MIN(Inputs!$B$1, ROW()-1)-1), 0, MIN(Inputs!$B$1, ROW()-1), 1))</f>
        <v>0</v>
      </c>
      <c r="G27" s="2">
        <f>IF(F27=0, 0, (D27-E27)/F27)</f>
        <v>0</v>
      </c>
      <c r="H27">
        <f>IF(H26=0, IF(G27&gt;Inputs!$B$2, -1, IF(G27&lt;-Inputs!$B$2, 1, 0)), IF(AND(H26=1, G27&gt;-Inputs!$B$3), 0, IF(AND(H26=-1, G27&lt;Inputs!$B$3), 0, H26)))</f>
        <v>0</v>
      </c>
      <c r="I27" s="3">
        <f>(((B27/B26)-(C27/C26))*H26)-IF(H27&lt;&gt;H26, Inputs!$B$4, 0)</f>
        <v>0</v>
      </c>
      <c r="J27" s="2">
        <f>J26*(1+I27)</f>
        <v>0</v>
      </c>
      <c r="K27" s="3">
        <f>(B27-B26)/B26</f>
        <v>0</v>
      </c>
      <c r="L27" s="2">
        <f>MAX(J$2:J27)</f>
        <v>0</v>
      </c>
      <c r="M27" s="3">
        <f>(J27-L27)/L27</f>
        <v>0</v>
      </c>
    </row>
    <row r="28" spans="1:13">
      <c r="A28" t="s">
        <v>51</v>
      </c>
      <c r="B28" s="2">
        <v>30.9674</v>
      </c>
      <c r="C28" s="2">
        <v>189.949152</v>
      </c>
      <c r="D28" s="2">
        <f>B28/C28</f>
        <v>0</v>
      </c>
      <c r="E28" s="2">
        <f>(D28*(2/(Inputs!$B$1+1)))+(E27*(1-(2/(Inputs!$B$1+1))))</f>
        <v>0</v>
      </c>
      <c r="F28" s="2">
        <f>STDEV.S(OFFSET(D28, -(MIN(Inputs!$B$1, ROW()-1)-1), 0, MIN(Inputs!$B$1, ROW()-1), 1))</f>
        <v>0</v>
      </c>
      <c r="G28" s="2">
        <f>IF(F28=0, 0, (D28-E28)/F28)</f>
        <v>0</v>
      </c>
      <c r="H28">
        <f>IF(H27=0, IF(G28&gt;Inputs!$B$2, -1, IF(G28&lt;-Inputs!$B$2, 1, 0)), IF(AND(H27=1, G28&gt;-Inputs!$B$3), 0, IF(AND(H27=-1, G28&lt;Inputs!$B$3), 0, H27)))</f>
        <v>0</v>
      </c>
      <c r="I28" s="3">
        <f>(((B28/B27)-(C28/C27))*H27)-IF(H28&lt;&gt;H27, Inputs!$B$4, 0)</f>
        <v>0</v>
      </c>
      <c r="J28" s="2">
        <f>J27*(1+I28)</f>
        <v>0</v>
      </c>
      <c r="K28" s="3">
        <f>(B28-B27)/B27</f>
        <v>0</v>
      </c>
      <c r="L28" s="2">
        <f>MAX(J$2:J28)</f>
        <v>0</v>
      </c>
      <c r="M28" s="3">
        <f>(J28-L28)/L28</f>
        <v>0</v>
      </c>
    </row>
    <row r="29" spans="1:13">
      <c r="A29" t="s">
        <v>52</v>
      </c>
      <c r="B29" s="2">
        <v>33.2974</v>
      </c>
      <c r="C29" s="2">
        <v>204.9336156</v>
      </c>
      <c r="D29" s="2">
        <f>B29/C29</f>
        <v>0</v>
      </c>
      <c r="E29" s="2">
        <f>(D29*(2/(Inputs!$B$1+1)))+(E28*(1-(2/(Inputs!$B$1+1))))</f>
        <v>0</v>
      </c>
      <c r="F29" s="2">
        <f>STDEV.S(OFFSET(D29, -(MIN(Inputs!$B$1, ROW()-1)-1), 0, MIN(Inputs!$B$1, ROW()-1), 1))</f>
        <v>0</v>
      </c>
      <c r="G29" s="2">
        <f>IF(F29=0, 0, (D29-E29)/F29)</f>
        <v>0</v>
      </c>
      <c r="H29">
        <f>IF(H28=0, IF(G29&gt;Inputs!$B$2, -1, IF(G29&lt;-Inputs!$B$2, 1, 0)), IF(AND(H28=1, G29&gt;-Inputs!$B$3), 0, IF(AND(H28=-1, G29&lt;Inputs!$B$3), 0, H28)))</f>
        <v>0</v>
      </c>
      <c r="I29" s="3">
        <f>(((B29/B28)-(C29/C28))*H28)-IF(H29&lt;&gt;H28, Inputs!$B$4, 0)</f>
        <v>0</v>
      </c>
      <c r="J29" s="2">
        <f>J28*(1+I29)</f>
        <v>0</v>
      </c>
      <c r="K29" s="3">
        <f>(B29-B28)/B28</f>
        <v>0</v>
      </c>
      <c r="L29" s="2">
        <f>MAX(J$2:J29)</f>
        <v>0</v>
      </c>
      <c r="M29" s="3">
        <f>(J29-L29)/L29</f>
        <v>0</v>
      </c>
    </row>
    <row r="30" spans="1:13">
      <c r="A30" t="s">
        <v>53</v>
      </c>
      <c r="B30" s="2">
        <v>32.7321</v>
      </c>
      <c r="C30" s="2">
        <v>201.3453264</v>
      </c>
      <c r="D30" s="2">
        <f>B30/C30</f>
        <v>0</v>
      </c>
      <c r="E30" s="2">
        <f>(D30*(2/(Inputs!$B$1+1)))+(E29*(1-(2/(Inputs!$B$1+1))))</f>
        <v>0</v>
      </c>
      <c r="F30" s="2">
        <f>STDEV.S(OFFSET(D30, -(MIN(Inputs!$B$1, ROW()-1)-1), 0, MIN(Inputs!$B$1, ROW()-1), 1))</f>
        <v>0</v>
      </c>
      <c r="G30" s="2">
        <f>IF(F30=0, 0, (D30-E30)/F30)</f>
        <v>0</v>
      </c>
      <c r="H30">
        <f>IF(H29=0, IF(G30&gt;Inputs!$B$2, -1, IF(G30&lt;-Inputs!$B$2, 1, 0)), IF(AND(H29=1, G30&gt;-Inputs!$B$3), 0, IF(AND(H29=-1, G30&lt;Inputs!$B$3), 0, H29)))</f>
        <v>0</v>
      </c>
      <c r="I30" s="3">
        <f>(((B30/B29)-(C30/C29))*H29)-IF(H30&lt;&gt;H29, Inputs!$B$4, 0)</f>
        <v>0</v>
      </c>
      <c r="J30" s="2">
        <f>J29*(1+I30)</f>
        <v>0</v>
      </c>
      <c r="K30" s="3">
        <f>(B30-B29)/B29</f>
        <v>0</v>
      </c>
      <c r="L30" s="2">
        <f>MAX(J$2:J30)</f>
        <v>0</v>
      </c>
      <c r="M30" s="3">
        <f>(J30-L30)/L30</f>
        <v>0</v>
      </c>
    </row>
    <row r="31" spans="1:13">
      <c r="A31" t="s">
        <v>54</v>
      </c>
      <c r="B31" s="2">
        <v>34.9049</v>
      </c>
      <c r="C31" s="2">
        <v>214.9340298</v>
      </c>
      <c r="D31" s="2">
        <f>B31/C31</f>
        <v>0</v>
      </c>
      <c r="E31" s="2">
        <f>(D31*(2/(Inputs!$B$1+1)))+(E30*(1-(2/(Inputs!$B$1+1))))</f>
        <v>0</v>
      </c>
      <c r="F31" s="2">
        <f>STDEV.S(OFFSET(D31, -(MIN(Inputs!$B$1, ROW()-1)-1), 0, MIN(Inputs!$B$1, ROW()-1), 1))</f>
        <v>0</v>
      </c>
      <c r="G31" s="2">
        <f>IF(F31=0, 0, (D31-E31)/F31)</f>
        <v>0</v>
      </c>
      <c r="H31">
        <f>IF(H30=0, IF(G31&gt;Inputs!$B$2, -1, IF(G31&lt;-Inputs!$B$2, 1, 0)), IF(AND(H30=1, G31&gt;-Inputs!$B$3), 0, IF(AND(H30=-1, G31&lt;Inputs!$B$3), 0, H30)))</f>
        <v>0</v>
      </c>
      <c r="I31" s="3">
        <f>(((B31/B30)-(C31/C30))*H30)-IF(H31&lt;&gt;H30, Inputs!$B$4, 0)</f>
        <v>0</v>
      </c>
      <c r="J31" s="2">
        <f>J30*(1+I31)</f>
        <v>0</v>
      </c>
      <c r="K31" s="3">
        <f>(B31-B30)/B30</f>
        <v>0</v>
      </c>
      <c r="L31" s="2">
        <f>MAX(J$2:J31)</f>
        <v>0</v>
      </c>
      <c r="M31" s="3">
        <f>(J31-L31)/L31</f>
        <v>0</v>
      </c>
    </row>
    <row r="32" spans="1:13">
      <c r="A32" t="s">
        <v>55</v>
      </c>
      <c r="B32" s="2">
        <v>36.1632</v>
      </c>
      <c r="C32" s="2">
        <v>221.7651408</v>
      </c>
      <c r="D32" s="2">
        <f>B32/C32</f>
        <v>0</v>
      </c>
      <c r="E32" s="2">
        <f>(D32*(2/(Inputs!$B$1+1)))+(E31*(1-(2/(Inputs!$B$1+1))))</f>
        <v>0</v>
      </c>
      <c r="F32" s="2">
        <f>STDEV.S(OFFSET(D32, -(MIN(Inputs!$B$1, ROW()-1)-1), 0, MIN(Inputs!$B$1, ROW()-1), 1))</f>
        <v>0</v>
      </c>
      <c r="G32" s="2">
        <f>IF(F32=0, 0, (D32-E32)/F32)</f>
        <v>0</v>
      </c>
      <c r="H32">
        <f>IF(H31=0, IF(G32&gt;Inputs!$B$2, -1, IF(G32&lt;-Inputs!$B$2, 1, 0)), IF(AND(H31=1, G32&gt;-Inputs!$B$3), 0, IF(AND(H31=-1, G32&lt;Inputs!$B$3), 0, H31)))</f>
        <v>0</v>
      </c>
      <c r="I32" s="3">
        <f>(((B32/B31)-(C32/C31))*H31)-IF(H32&lt;&gt;H31, Inputs!$B$4, 0)</f>
        <v>0</v>
      </c>
      <c r="J32" s="2">
        <f>J31*(1+I32)</f>
        <v>0</v>
      </c>
      <c r="K32" s="3">
        <f>(B32-B31)/B31</f>
        <v>0</v>
      </c>
      <c r="L32" s="2">
        <f>MAX(J$2:J32)</f>
        <v>0</v>
      </c>
      <c r="M32" s="3">
        <f>(J32-L32)/L32</f>
        <v>0</v>
      </c>
    </row>
    <row r="33" spans="1:13">
      <c r="A33" t="s">
        <v>56</v>
      </c>
      <c r="B33" s="2">
        <v>37.7656</v>
      </c>
      <c r="C33" s="2">
        <v>232.143996</v>
      </c>
      <c r="D33" s="2">
        <f>B33/C33</f>
        <v>0</v>
      </c>
      <c r="E33" s="2">
        <f>(D33*(2/(Inputs!$B$1+1)))+(E32*(1-(2/(Inputs!$B$1+1))))</f>
        <v>0</v>
      </c>
      <c r="F33" s="2">
        <f>STDEV.S(OFFSET(D33, -(MIN(Inputs!$B$1, ROW()-1)-1), 0, MIN(Inputs!$B$1, ROW()-1), 1))</f>
        <v>0</v>
      </c>
      <c r="G33" s="2">
        <f>IF(F33=0, 0, (D33-E33)/F33)</f>
        <v>0</v>
      </c>
      <c r="H33">
        <f>IF(H32=0, IF(G33&gt;Inputs!$B$2, -1, IF(G33&lt;-Inputs!$B$2, 1, 0)), IF(AND(H32=1, G33&gt;-Inputs!$B$3), 0, IF(AND(H32=-1, G33&lt;Inputs!$B$3), 0, H32)))</f>
        <v>0</v>
      </c>
      <c r="I33" s="3">
        <f>(((B33/B32)-(C33/C32))*H32)-IF(H33&lt;&gt;H32, Inputs!$B$4, 0)</f>
        <v>0</v>
      </c>
      <c r="J33" s="2">
        <f>J32*(1+I33)</f>
        <v>0</v>
      </c>
      <c r="K33" s="3">
        <f>(B33-B32)/B32</f>
        <v>0</v>
      </c>
      <c r="L33" s="2">
        <f>MAX(J$2:J33)</f>
        <v>0</v>
      </c>
      <c r="M33" s="3">
        <f>(J33-L33)/L33</f>
        <v>0</v>
      </c>
    </row>
    <row r="34" spans="1:13">
      <c r="A34" t="s">
        <v>57</v>
      </c>
      <c r="B34" s="2">
        <v>38.0753</v>
      </c>
      <c r="C34" s="2">
        <v>234.068128</v>
      </c>
      <c r="D34" s="2">
        <f>B34/C34</f>
        <v>0</v>
      </c>
      <c r="E34" s="2">
        <f>(D34*(2/(Inputs!$B$1+1)))+(E33*(1-(2/(Inputs!$B$1+1))))</f>
        <v>0</v>
      </c>
      <c r="F34" s="2">
        <f>STDEV.S(OFFSET(D34, -(MIN(Inputs!$B$1, ROW()-1)-1), 0, MIN(Inputs!$B$1, ROW()-1), 1))</f>
        <v>0</v>
      </c>
      <c r="G34" s="2">
        <f>IF(F34=0, 0, (D34-E34)/F34)</f>
        <v>0</v>
      </c>
      <c r="H34">
        <f>IF(H33=0, IF(G34&gt;Inputs!$B$2, -1, IF(G34&lt;-Inputs!$B$2, 1, 0)), IF(AND(H33=1, G34&gt;-Inputs!$B$3), 0, IF(AND(H33=-1, G34&lt;Inputs!$B$3), 0, H33)))</f>
        <v>0</v>
      </c>
      <c r="I34" s="3">
        <f>(((B34/B33)-(C34/C33))*H33)-IF(H34&lt;&gt;H33, Inputs!$B$4, 0)</f>
        <v>0</v>
      </c>
      <c r="J34" s="2">
        <f>J33*(1+I34)</f>
        <v>0</v>
      </c>
      <c r="K34" s="3">
        <f>(B34-B33)/B33</f>
        <v>0</v>
      </c>
      <c r="L34" s="2">
        <f>MAX(J$2:J34)</f>
        <v>0</v>
      </c>
      <c r="M34" s="3">
        <f>(J34-L34)/L34</f>
        <v>0</v>
      </c>
    </row>
    <row r="35" spans="1:13">
      <c r="A35" t="s">
        <v>58</v>
      </c>
      <c r="B35" s="2">
        <v>36.8168</v>
      </c>
      <c r="C35" s="2">
        <v>222.9098024</v>
      </c>
      <c r="D35" s="2">
        <f>B35/C35</f>
        <v>0</v>
      </c>
      <c r="E35" s="2">
        <f>(D35*(2/(Inputs!$B$1+1)))+(E34*(1-(2/(Inputs!$B$1+1))))</f>
        <v>0</v>
      </c>
      <c r="F35" s="2">
        <f>STDEV.S(OFFSET(D35, -(MIN(Inputs!$B$1, ROW()-1)-1), 0, MIN(Inputs!$B$1, ROW()-1), 1))</f>
        <v>0</v>
      </c>
      <c r="G35" s="2">
        <f>IF(F35=0, 0, (D35-E35)/F35)</f>
        <v>0</v>
      </c>
      <c r="H35">
        <f>IF(H34=0, IF(G35&gt;Inputs!$B$2, -1, IF(G35&lt;-Inputs!$B$2, 1, 0)), IF(AND(H34=1, G35&gt;-Inputs!$B$3), 0, IF(AND(H34=-1, G35&lt;Inputs!$B$3), 0, H34)))</f>
        <v>0</v>
      </c>
      <c r="I35" s="3">
        <f>(((B35/B34)-(C35/C34))*H34)-IF(H35&lt;&gt;H34, Inputs!$B$4, 0)</f>
        <v>0</v>
      </c>
      <c r="J35" s="2">
        <f>J34*(1+I35)</f>
        <v>0</v>
      </c>
      <c r="K35" s="3">
        <f>(B35-B34)/B34</f>
        <v>0</v>
      </c>
      <c r="L35" s="2">
        <f>MAX(J$2:J35)</f>
        <v>0</v>
      </c>
      <c r="M35" s="3">
        <f>(J35-L35)/L35</f>
        <v>0</v>
      </c>
    </row>
    <row r="36" spans="1:13">
      <c r="A36" t="s">
        <v>59</v>
      </c>
      <c r="B36" s="2">
        <v>35.7797</v>
      </c>
      <c r="C36" s="2">
        <v>218.8331658</v>
      </c>
      <c r="D36" s="2">
        <f>B36/C36</f>
        <v>0</v>
      </c>
      <c r="E36" s="2">
        <f>(D36*(2/(Inputs!$B$1+1)))+(E35*(1-(2/(Inputs!$B$1+1))))</f>
        <v>0</v>
      </c>
      <c r="F36" s="2">
        <f>STDEV.S(OFFSET(D36, -(MIN(Inputs!$B$1, ROW()-1)-1), 0, MIN(Inputs!$B$1, ROW()-1), 1))</f>
        <v>0</v>
      </c>
      <c r="G36" s="2">
        <f>IF(F36=0, 0, (D36-E36)/F36)</f>
        <v>0</v>
      </c>
      <c r="H36">
        <f>IF(H35=0, IF(G36&gt;Inputs!$B$2, -1, IF(G36&lt;-Inputs!$B$2, 1, 0)), IF(AND(H35=1, G36&gt;-Inputs!$B$3), 0, IF(AND(H35=-1, G36&lt;Inputs!$B$3), 0, H35)))</f>
        <v>0</v>
      </c>
      <c r="I36" s="3">
        <f>(((B36/B35)-(C36/C35))*H35)-IF(H36&lt;&gt;H35, Inputs!$B$4, 0)</f>
        <v>0</v>
      </c>
      <c r="J36" s="2">
        <f>J35*(1+I36)</f>
        <v>0</v>
      </c>
      <c r="K36" s="3">
        <f>(B36-B35)/B35</f>
        <v>0</v>
      </c>
      <c r="L36" s="2">
        <f>MAX(J$2:J36)</f>
        <v>0</v>
      </c>
      <c r="M36" s="3">
        <f>(J36-L36)/L36</f>
        <v>0</v>
      </c>
    </row>
    <row r="37" spans="1:13">
      <c r="A37" t="s">
        <v>60</v>
      </c>
      <c r="B37" s="2">
        <v>36.3161</v>
      </c>
      <c r="C37" s="2">
        <v>223.1283762</v>
      </c>
      <c r="D37" s="2">
        <f>B37/C37</f>
        <v>0</v>
      </c>
      <c r="E37" s="2">
        <f>(D37*(2/(Inputs!$B$1+1)))+(E36*(1-(2/(Inputs!$B$1+1))))</f>
        <v>0</v>
      </c>
      <c r="F37" s="2">
        <f>STDEV.S(OFFSET(D37, -(MIN(Inputs!$B$1, ROW()-1)-1), 0, MIN(Inputs!$B$1, ROW()-1), 1))</f>
        <v>0</v>
      </c>
      <c r="G37" s="2">
        <f>IF(F37=0, 0, (D37-E37)/F37)</f>
        <v>0</v>
      </c>
      <c r="H37">
        <f>IF(H36=0, IF(G37&gt;Inputs!$B$2, -1, IF(G37&lt;-Inputs!$B$2, 1, 0)), IF(AND(H36=1, G37&gt;-Inputs!$B$3), 0, IF(AND(H36=-1, G37&lt;Inputs!$B$3), 0, H36)))</f>
        <v>0</v>
      </c>
      <c r="I37" s="3">
        <f>(((B37/B36)-(C37/C36))*H36)-IF(H37&lt;&gt;H36, Inputs!$B$4, 0)</f>
        <v>0</v>
      </c>
      <c r="J37" s="2">
        <f>J36*(1+I37)</f>
        <v>0</v>
      </c>
      <c r="K37" s="3">
        <f>(B37-B36)/B36</f>
        <v>0</v>
      </c>
      <c r="L37" s="2">
        <f>MAX(J$2:J37)</f>
        <v>0</v>
      </c>
      <c r="M37" s="3">
        <f>(J37-L37)/L37</f>
        <v>0</v>
      </c>
    </row>
    <row r="38" spans="1:13">
      <c r="A38" t="s">
        <v>61</v>
      </c>
      <c r="B38" s="2">
        <v>36.6714</v>
      </c>
      <c r="C38" s="2">
        <v>225.1124764</v>
      </c>
      <c r="D38" s="2">
        <f>B38/C38</f>
        <v>0</v>
      </c>
      <c r="E38" s="2">
        <f>(D38*(2/(Inputs!$B$1+1)))+(E37*(1-(2/(Inputs!$B$1+1))))</f>
        <v>0</v>
      </c>
      <c r="F38" s="2">
        <f>STDEV.S(OFFSET(D38, -(MIN(Inputs!$B$1, ROW()-1)-1), 0, MIN(Inputs!$B$1, ROW()-1), 1))</f>
        <v>0</v>
      </c>
      <c r="G38" s="2">
        <f>IF(F38=0, 0, (D38-E38)/F38)</f>
        <v>0</v>
      </c>
      <c r="H38">
        <f>IF(H37=0, IF(G38&gt;Inputs!$B$2, -1, IF(G38&lt;-Inputs!$B$2, 1, 0)), IF(AND(H37=1, G38&gt;-Inputs!$B$3), 0, IF(AND(H37=-1, G38&lt;Inputs!$B$3), 0, H37)))</f>
        <v>0</v>
      </c>
      <c r="I38" s="3">
        <f>(((B38/B37)-(C38/C37))*H37)-IF(H38&lt;&gt;H37, Inputs!$B$4, 0)</f>
        <v>0</v>
      </c>
      <c r="J38" s="2">
        <f>J37*(1+I38)</f>
        <v>0</v>
      </c>
      <c r="K38" s="3">
        <f>(B38-B37)/B37</f>
        <v>0</v>
      </c>
      <c r="L38" s="2">
        <f>MAX(J$2:J38)</f>
        <v>0</v>
      </c>
      <c r="M38" s="3">
        <f>(J38-L38)/L38</f>
        <v>0</v>
      </c>
    </row>
    <row r="39" spans="1:13">
      <c r="A39" t="s">
        <v>62</v>
      </c>
      <c r="B39" s="2">
        <v>37.15</v>
      </c>
      <c r="C39" s="2">
        <v>227.152378</v>
      </c>
      <c r="D39" s="2">
        <f>B39/C39</f>
        <v>0</v>
      </c>
      <c r="E39" s="2">
        <f>(D39*(2/(Inputs!$B$1+1)))+(E38*(1-(2/(Inputs!$B$1+1))))</f>
        <v>0</v>
      </c>
      <c r="F39" s="2">
        <f>STDEV.S(OFFSET(D39, -(MIN(Inputs!$B$1, ROW()-1)-1), 0, MIN(Inputs!$B$1, ROW()-1), 1))</f>
        <v>0</v>
      </c>
      <c r="G39" s="2">
        <f>IF(F39=0, 0, (D39-E39)/F39)</f>
        <v>0</v>
      </c>
      <c r="H39">
        <f>IF(H38=0, IF(G39&gt;Inputs!$B$2, -1, IF(G39&lt;-Inputs!$B$2, 1, 0)), IF(AND(H38=1, G39&gt;-Inputs!$B$3), 0, IF(AND(H38=-1, G39&lt;Inputs!$B$3), 0, H38)))</f>
        <v>0</v>
      </c>
      <c r="I39" s="3">
        <f>(((B39/B38)-(C39/C38))*H38)-IF(H39&lt;&gt;H38, Inputs!$B$4, 0)</f>
        <v>0</v>
      </c>
      <c r="J39" s="2">
        <f>J38*(1+I39)</f>
        <v>0</v>
      </c>
      <c r="K39" s="3">
        <f>(B39-B38)/B38</f>
        <v>0</v>
      </c>
      <c r="L39" s="2">
        <f>MAX(J$2:J39)</f>
        <v>0</v>
      </c>
      <c r="M39" s="3">
        <f>(J39-L39)/L39</f>
        <v>0</v>
      </c>
    </row>
    <row r="40" spans="1:13">
      <c r="A40" t="s">
        <v>63</v>
      </c>
      <c r="B40" s="2">
        <v>36.5925</v>
      </c>
      <c r="C40" s="2">
        <v>224.9301663</v>
      </c>
      <c r="D40" s="2">
        <f>B40/C40</f>
        <v>0</v>
      </c>
      <c r="E40" s="2">
        <f>(D40*(2/(Inputs!$B$1+1)))+(E39*(1-(2/(Inputs!$B$1+1))))</f>
        <v>0</v>
      </c>
      <c r="F40" s="2">
        <f>STDEV.S(OFFSET(D40, -(MIN(Inputs!$B$1, ROW()-1)-1), 0, MIN(Inputs!$B$1, ROW()-1), 1))</f>
        <v>0</v>
      </c>
      <c r="G40" s="2">
        <f>IF(F40=0, 0, (D40-E40)/F40)</f>
        <v>0</v>
      </c>
      <c r="H40">
        <f>IF(H39=0, IF(G40&gt;Inputs!$B$2, -1, IF(G40&lt;-Inputs!$B$2, 1, 0)), IF(AND(H39=1, G40&gt;-Inputs!$B$3), 0, IF(AND(H39=-1, G40&lt;Inputs!$B$3), 0, H39)))</f>
        <v>0</v>
      </c>
      <c r="I40" s="3">
        <f>(((B40/B39)-(C40/C39))*H39)-IF(H40&lt;&gt;H39, Inputs!$B$4, 0)</f>
        <v>0</v>
      </c>
      <c r="J40" s="2">
        <f>J39*(1+I40)</f>
        <v>0</v>
      </c>
      <c r="K40" s="3">
        <f>(B40-B39)/B39</f>
        <v>0</v>
      </c>
      <c r="L40" s="2">
        <f>MAX(J$2:J40)</f>
        <v>0</v>
      </c>
      <c r="M40" s="3">
        <f>(J40-L40)/L40</f>
        <v>0</v>
      </c>
    </row>
    <row r="41" spans="1:13">
      <c r="A41" t="s">
        <v>64</v>
      </c>
      <c r="B41" s="2">
        <v>36.6565</v>
      </c>
      <c r="C41" s="2">
        <v>228.0134584</v>
      </c>
      <c r="D41" s="2">
        <f>B41/C41</f>
        <v>0</v>
      </c>
      <c r="E41" s="2">
        <f>(D41*(2/(Inputs!$B$1+1)))+(E40*(1-(2/(Inputs!$B$1+1))))</f>
        <v>0</v>
      </c>
      <c r="F41" s="2">
        <f>STDEV.S(OFFSET(D41, -(MIN(Inputs!$B$1, ROW()-1)-1), 0, MIN(Inputs!$B$1, ROW()-1), 1))</f>
        <v>0</v>
      </c>
      <c r="G41" s="2">
        <f>IF(F41=0, 0, (D41-E41)/F41)</f>
        <v>0</v>
      </c>
      <c r="H41">
        <f>IF(H40=0, IF(G41&gt;Inputs!$B$2, -1, IF(G41&lt;-Inputs!$B$2, 1, 0)), IF(AND(H40=1, G41&gt;-Inputs!$B$3), 0, IF(AND(H40=-1, G41&lt;Inputs!$B$3), 0, H40)))</f>
        <v>0</v>
      </c>
      <c r="I41" s="3">
        <f>(((B41/B40)-(C41/C40))*H40)-IF(H41&lt;&gt;H40, Inputs!$B$4, 0)</f>
        <v>0</v>
      </c>
      <c r="J41" s="2">
        <f>J40*(1+I41)</f>
        <v>0</v>
      </c>
      <c r="K41" s="3">
        <f>(B41-B40)/B40</f>
        <v>0</v>
      </c>
      <c r="L41" s="2">
        <f>MAX(J$2:J41)</f>
        <v>0</v>
      </c>
      <c r="M41" s="3">
        <f>(J41-L41)/L41</f>
        <v>0</v>
      </c>
    </row>
    <row r="42" spans="1:13">
      <c r="A42" t="s">
        <v>65</v>
      </c>
      <c r="B42" s="2">
        <v>40.3671</v>
      </c>
      <c r="C42" s="2">
        <v>247.3555261</v>
      </c>
      <c r="D42" s="2">
        <f>B42/C42</f>
        <v>0</v>
      </c>
      <c r="E42" s="2">
        <f>(D42*(2/(Inputs!$B$1+1)))+(E41*(1-(2/(Inputs!$B$1+1))))</f>
        <v>0</v>
      </c>
      <c r="F42" s="2">
        <f>STDEV.S(OFFSET(D42, -(MIN(Inputs!$B$1, ROW()-1)-1), 0, MIN(Inputs!$B$1, ROW()-1), 1))</f>
        <v>0</v>
      </c>
      <c r="G42" s="2">
        <f>IF(F42=0, 0, (D42-E42)/F42)</f>
        <v>0</v>
      </c>
      <c r="H42">
        <f>IF(H41=0, IF(G42&gt;Inputs!$B$2, -1, IF(G42&lt;-Inputs!$B$2, 1, 0)), IF(AND(H41=1, G42&gt;-Inputs!$B$3), 0, IF(AND(H41=-1, G42&lt;Inputs!$B$3), 0, H41)))</f>
        <v>0</v>
      </c>
      <c r="I42" s="3">
        <f>(((B42/B41)-(C42/C41))*H41)-IF(H42&lt;&gt;H41, Inputs!$B$4, 0)</f>
        <v>0</v>
      </c>
      <c r="J42" s="2">
        <f>J41*(1+I42)</f>
        <v>0</v>
      </c>
      <c r="K42" s="3">
        <f>(B42-B41)/B41</f>
        <v>0</v>
      </c>
      <c r="L42" s="2">
        <f>MAX(J$2:J42)</f>
        <v>0</v>
      </c>
      <c r="M42" s="3">
        <f>(J42-L42)/L42</f>
        <v>0</v>
      </c>
    </row>
    <row r="43" spans="1:13">
      <c r="A43" t="s">
        <v>66</v>
      </c>
      <c r="B43" s="2">
        <v>41.1122</v>
      </c>
      <c r="C43" s="2">
        <v>251.328387</v>
      </c>
      <c r="D43" s="2">
        <f>B43/C43</f>
        <v>0</v>
      </c>
      <c r="E43" s="2">
        <f>(D43*(2/(Inputs!$B$1+1)))+(E42*(1-(2/(Inputs!$B$1+1))))</f>
        <v>0</v>
      </c>
      <c r="F43" s="2">
        <f>STDEV.S(OFFSET(D43, -(MIN(Inputs!$B$1, ROW()-1)-1), 0, MIN(Inputs!$B$1, ROW()-1), 1))</f>
        <v>0</v>
      </c>
      <c r="G43" s="2">
        <f>IF(F43=0, 0, (D43-E43)/F43)</f>
        <v>0</v>
      </c>
      <c r="H43">
        <f>IF(H42=0, IF(G43&gt;Inputs!$B$2, -1, IF(G43&lt;-Inputs!$B$2, 1, 0)), IF(AND(H42=1, G43&gt;-Inputs!$B$3), 0, IF(AND(H42=-1, G43&lt;Inputs!$B$3), 0, H42)))</f>
        <v>0</v>
      </c>
      <c r="I43" s="3">
        <f>(((B43/B42)-(C43/C42))*H42)-IF(H43&lt;&gt;H42, Inputs!$B$4, 0)</f>
        <v>0</v>
      </c>
      <c r="J43" s="2">
        <f>J42*(1+I43)</f>
        <v>0</v>
      </c>
      <c r="K43" s="3">
        <f>(B43-B42)/B42</f>
        <v>0</v>
      </c>
      <c r="L43" s="2">
        <f>MAX(J$2:J43)</f>
        <v>0</v>
      </c>
      <c r="M43" s="3">
        <f>(J43-L43)/L43</f>
        <v>0</v>
      </c>
    </row>
    <row r="44" spans="1:13">
      <c r="A44" t="s">
        <v>67</v>
      </c>
      <c r="B44" s="2">
        <v>41.9264</v>
      </c>
      <c r="C44" s="2">
        <v>256.704108</v>
      </c>
      <c r="D44" s="2">
        <f>B44/C44</f>
        <v>0</v>
      </c>
      <c r="E44" s="2">
        <f>(D44*(2/(Inputs!$B$1+1)))+(E43*(1-(2/(Inputs!$B$1+1))))</f>
        <v>0</v>
      </c>
      <c r="F44" s="2">
        <f>STDEV.S(OFFSET(D44, -(MIN(Inputs!$B$1, ROW()-1)-1), 0, MIN(Inputs!$B$1, ROW()-1), 1))</f>
        <v>0</v>
      </c>
      <c r="G44" s="2">
        <f>IF(F44=0, 0, (D44-E44)/F44)</f>
        <v>0</v>
      </c>
      <c r="H44">
        <f>IF(H43=0, IF(G44&gt;Inputs!$B$2, -1, IF(G44&lt;-Inputs!$B$2, 1, 0)), IF(AND(H43=1, G44&gt;-Inputs!$B$3), 0, IF(AND(H43=-1, G44&lt;Inputs!$B$3), 0, H43)))</f>
        <v>0</v>
      </c>
      <c r="I44" s="3">
        <f>(((B44/B43)-(C44/C43))*H43)-IF(H44&lt;&gt;H43, Inputs!$B$4, 0)</f>
        <v>0</v>
      </c>
      <c r="J44" s="2">
        <f>J43*(1+I44)</f>
        <v>0</v>
      </c>
      <c r="K44" s="3">
        <f>(B44-B43)/B43</f>
        <v>0</v>
      </c>
      <c r="L44" s="2">
        <f>MAX(J$2:J44)</f>
        <v>0</v>
      </c>
      <c r="M44" s="3">
        <f>(J44-L44)/L44</f>
        <v>0</v>
      </c>
    </row>
    <row r="45" spans="1:13">
      <c r="A45" t="s">
        <v>68</v>
      </c>
      <c r="B45" s="2">
        <v>39.2324</v>
      </c>
      <c r="C45" s="2">
        <v>240.3081372</v>
      </c>
      <c r="D45" s="2">
        <f>B45/C45</f>
        <v>0</v>
      </c>
      <c r="E45" s="2">
        <f>(D45*(2/(Inputs!$B$1+1)))+(E44*(1-(2/(Inputs!$B$1+1))))</f>
        <v>0</v>
      </c>
      <c r="F45" s="2">
        <f>STDEV.S(OFFSET(D45, -(MIN(Inputs!$B$1, ROW()-1)-1), 0, MIN(Inputs!$B$1, ROW()-1), 1))</f>
        <v>0</v>
      </c>
      <c r="G45" s="2">
        <f>IF(F45=0, 0, (D45-E45)/F45)</f>
        <v>0</v>
      </c>
      <c r="H45">
        <f>IF(H44=0, IF(G45&gt;Inputs!$B$2, -1, IF(G45&lt;-Inputs!$B$2, 1, 0)), IF(AND(H44=1, G45&gt;-Inputs!$B$3), 0, IF(AND(H44=-1, G45&lt;Inputs!$B$3), 0, H44)))</f>
        <v>0</v>
      </c>
      <c r="I45" s="3">
        <f>(((B45/B44)-(C45/C44))*H44)-IF(H45&lt;&gt;H44, Inputs!$B$4, 0)</f>
        <v>0</v>
      </c>
      <c r="J45" s="2">
        <f>J44*(1+I45)</f>
        <v>0</v>
      </c>
      <c r="K45" s="3">
        <f>(B45-B44)/B44</f>
        <v>0</v>
      </c>
      <c r="L45" s="2">
        <f>MAX(J$2:J45)</f>
        <v>0</v>
      </c>
      <c r="M45" s="3">
        <f>(J45-L45)/L45</f>
        <v>0</v>
      </c>
    </row>
    <row r="46" spans="1:13">
      <c r="A46" t="s">
        <v>69</v>
      </c>
      <c r="B46" s="2">
        <v>40.4313</v>
      </c>
      <c r="C46" s="2">
        <v>248.297566</v>
      </c>
      <c r="D46" s="2">
        <f>B46/C46</f>
        <v>0</v>
      </c>
      <c r="E46" s="2">
        <f>(D46*(2/(Inputs!$B$1+1)))+(E45*(1-(2/(Inputs!$B$1+1))))</f>
        <v>0</v>
      </c>
      <c r="F46" s="2">
        <f>STDEV.S(OFFSET(D46, -(MIN(Inputs!$B$1, ROW()-1)-1), 0, MIN(Inputs!$B$1, ROW()-1), 1))</f>
        <v>0</v>
      </c>
      <c r="G46" s="2">
        <f>IF(F46=0, 0, (D46-E46)/F46)</f>
        <v>0</v>
      </c>
      <c r="H46">
        <f>IF(H45=0, IF(G46&gt;Inputs!$B$2, -1, IF(G46&lt;-Inputs!$B$2, 1, 0)), IF(AND(H45=1, G46&gt;-Inputs!$B$3), 0, IF(AND(H45=-1, G46&lt;Inputs!$B$3), 0, H45)))</f>
        <v>0</v>
      </c>
      <c r="I46" s="3">
        <f>(((B46/B45)-(C46/C45))*H45)-IF(H46&lt;&gt;H45, Inputs!$B$4, 0)</f>
        <v>0</v>
      </c>
      <c r="J46" s="2">
        <f>J45*(1+I46)</f>
        <v>0</v>
      </c>
      <c r="K46" s="3">
        <f>(B46-B45)/B45</f>
        <v>0</v>
      </c>
      <c r="L46" s="2">
        <f>MAX(J$2:J46)</f>
        <v>0</v>
      </c>
      <c r="M46" s="3">
        <f>(J46-L46)/L46</f>
        <v>0</v>
      </c>
    </row>
    <row r="47" spans="1:13">
      <c r="A47" t="s">
        <v>70</v>
      </c>
      <c r="B47" s="2">
        <v>38.1567</v>
      </c>
      <c r="C47" s="2">
        <v>233.8237324</v>
      </c>
      <c r="D47" s="2">
        <f>B47/C47</f>
        <v>0</v>
      </c>
      <c r="E47" s="2">
        <f>(D47*(2/(Inputs!$B$1+1)))+(E46*(1-(2/(Inputs!$B$1+1))))</f>
        <v>0</v>
      </c>
      <c r="F47" s="2">
        <f>STDEV.S(OFFSET(D47, -(MIN(Inputs!$B$1, ROW()-1)-1), 0, MIN(Inputs!$B$1, ROW()-1), 1))</f>
        <v>0</v>
      </c>
      <c r="G47" s="2">
        <f>IF(F47=0, 0, (D47-E47)/F47)</f>
        <v>0</v>
      </c>
      <c r="H47">
        <f>IF(H46=0, IF(G47&gt;Inputs!$B$2, -1, IF(G47&lt;-Inputs!$B$2, 1, 0)), IF(AND(H46=1, G47&gt;-Inputs!$B$3), 0, IF(AND(H46=-1, G47&lt;Inputs!$B$3), 0, H46)))</f>
        <v>0</v>
      </c>
      <c r="I47" s="3">
        <f>(((B47/B46)-(C47/C46))*H46)-IF(H47&lt;&gt;H46, Inputs!$B$4, 0)</f>
        <v>0</v>
      </c>
      <c r="J47" s="2">
        <f>J46*(1+I47)</f>
        <v>0</v>
      </c>
      <c r="K47" s="3">
        <f>(B47-B46)/B46</f>
        <v>0</v>
      </c>
      <c r="L47" s="2">
        <f>MAX(J$2:J47)</f>
        <v>0</v>
      </c>
      <c r="M47" s="3">
        <f>(J47-L47)/L47</f>
        <v>0</v>
      </c>
    </row>
    <row r="48" spans="1:13">
      <c r="A48" t="s">
        <v>71</v>
      </c>
      <c r="B48" s="2">
        <v>37.4066</v>
      </c>
      <c r="C48" s="2">
        <v>229.579596</v>
      </c>
      <c r="D48" s="2">
        <f>B48/C48</f>
        <v>0</v>
      </c>
      <c r="E48" s="2">
        <f>(D48*(2/(Inputs!$B$1+1)))+(E47*(1-(2/(Inputs!$B$1+1))))</f>
        <v>0</v>
      </c>
      <c r="F48" s="2">
        <f>STDEV.S(OFFSET(D48, -(MIN(Inputs!$B$1, ROW()-1)-1), 0, MIN(Inputs!$B$1, ROW()-1), 1))</f>
        <v>0</v>
      </c>
      <c r="G48" s="2">
        <f>IF(F48=0, 0, (D48-E48)/F48)</f>
        <v>0</v>
      </c>
      <c r="H48">
        <f>IF(H47=0, IF(G48&gt;Inputs!$B$2, -1, IF(G48&lt;-Inputs!$B$2, 1, 0)), IF(AND(H47=1, G48&gt;-Inputs!$B$3), 0, IF(AND(H47=-1, G48&lt;Inputs!$B$3), 0, H47)))</f>
        <v>0</v>
      </c>
      <c r="I48" s="3">
        <f>(((B48/B47)-(C48/C47))*H47)-IF(H48&lt;&gt;H47, Inputs!$B$4, 0)</f>
        <v>0</v>
      </c>
      <c r="J48" s="2">
        <f>J47*(1+I48)</f>
        <v>0</v>
      </c>
      <c r="K48" s="3">
        <f>(B48-B47)/B47</f>
        <v>0</v>
      </c>
      <c r="L48" s="2">
        <f>MAX(J$2:J48)</f>
        <v>0</v>
      </c>
      <c r="M48" s="3">
        <f>(J48-L48)/L48</f>
        <v>0</v>
      </c>
    </row>
    <row r="49" spans="1:13">
      <c r="A49" t="s">
        <v>72</v>
      </c>
      <c r="B49" s="2">
        <v>36.3407</v>
      </c>
      <c r="C49" s="2">
        <v>222.2059901</v>
      </c>
      <c r="D49" s="2">
        <f>B49/C49</f>
        <v>0</v>
      </c>
      <c r="E49" s="2">
        <f>(D49*(2/(Inputs!$B$1+1)))+(E48*(1-(2/(Inputs!$B$1+1))))</f>
        <v>0</v>
      </c>
      <c r="F49" s="2">
        <f>STDEV.S(OFFSET(D49, -(MIN(Inputs!$B$1, ROW()-1)-1), 0, MIN(Inputs!$B$1, ROW()-1), 1))</f>
        <v>0</v>
      </c>
      <c r="G49" s="2">
        <f>IF(F49=0, 0, (D49-E49)/F49)</f>
        <v>0</v>
      </c>
      <c r="H49">
        <f>IF(H48=0, IF(G49&gt;Inputs!$B$2, -1, IF(G49&lt;-Inputs!$B$2, 1, 0)), IF(AND(H48=1, G49&gt;-Inputs!$B$3), 0, IF(AND(H48=-1, G49&lt;Inputs!$B$3), 0, H48)))</f>
        <v>0</v>
      </c>
      <c r="I49" s="3">
        <f>(((B49/B48)-(C49/C48))*H48)-IF(H49&lt;&gt;H48, Inputs!$B$4, 0)</f>
        <v>0</v>
      </c>
      <c r="J49" s="2">
        <f>J48*(1+I49)</f>
        <v>0</v>
      </c>
      <c r="K49" s="3">
        <f>(B49-B48)/B48</f>
        <v>0</v>
      </c>
      <c r="L49" s="2">
        <f>MAX(J$2:J49)</f>
        <v>0</v>
      </c>
      <c r="M49" s="3">
        <f>(J49-L49)/L49</f>
        <v>0</v>
      </c>
    </row>
    <row r="50" spans="1:13">
      <c r="A50" t="s">
        <v>73</v>
      </c>
      <c r="B50" s="2">
        <v>34.6533</v>
      </c>
      <c r="C50" s="2">
        <v>208.3669872</v>
      </c>
      <c r="D50" s="2">
        <f>B50/C50</f>
        <v>0</v>
      </c>
      <c r="E50" s="2">
        <f>(D50*(2/(Inputs!$B$1+1)))+(E49*(1-(2/(Inputs!$B$1+1))))</f>
        <v>0</v>
      </c>
      <c r="F50" s="2">
        <f>STDEV.S(OFFSET(D50, -(MIN(Inputs!$B$1, ROW()-1)-1), 0, MIN(Inputs!$B$1, ROW()-1), 1))</f>
        <v>0</v>
      </c>
      <c r="G50" s="2">
        <f>IF(F50=0, 0, (D50-E50)/F50)</f>
        <v>0</v>
      </c>
      <c r="H50">
        <f>IF(H49=0, IF(G50&gt;Inputs!$B$2, -1, IF(G50&lt;-Inputs!$B$2, 1, 0)), IF(AND(H49=1, G50&gt;-Inputs!$B$3), 0, IF(AND(H49=-1, G50&lt;Inputs!$B$3), 0, H49)))</f>
        <v>0</v>
      </c>
      <c r="I50" s="3">
        <f>(((B50/B49)-(C50/C49))*H49)-IF(H50&lt;&gt;H49, Inputs!$B$4, 0)</f>
        <v>0</v>
      </c>
      <c r="J50" s="2">
        <f>J49*(1+I50)</f>
        <v>0</v>
      </c>
      <c r="K50" s="3">
        <f>(B50-B49)/B49</f>
        <v>0</v>
      </c>
      <c r="L50" s="2">
        <f>MAX(J$2:J50)</f>
        <v>0</v>
      </c>
      <c r="M50" s="3">
        <f>(J50-L50)/L50</f>
        <v>0</v>
      </c>
    </row>
    <row r="51" spans="1:13">
      <c r="A51" t="s">
        <v>74</v>
      </c>
      <c r="B51" s="2">
        <v>32.3489</v>
      </c>
      <c r="C51" s="2">
        <v>198.481</v>
      </c>
      <c r="D51" s="2">
        <f>B51/C51</f>
        <v>0</v>
      </c>
      <c r="E51" s="2">
        <f>(D51*(2/(Inputs!$B$1+1)))+(E50*(1-(2/(Inputs!$B$1+1))))</f>
        <v>0</v>
      </c>
      <c r="F51" s="2">
        <f>STDEV.S(OFFSET(D51, -(MIN(Inputs!$B$1, ROW()-1)-1), 0, MIN(Inputs!$B$1, ROW()-1), 1))</f>
        <v>0</v>
      </c>
      <c r="G51" s="2">
        <f>IF(F51=0, 0, (D51-E51)/F51)</f>
        <v>0</v>
      </c>
      <c r="H51">
        <f>IF(H50=0, IF(G51&gt;Inputs!$B$2, -1, IF(G51&lt;-Inputs!$B$2, 1, 0)), IF(AND(H50=1, G51&gt;-Inputs!$B$3), 0, IF(AND(H50=-1, G51&lt;Inputs!$B$3), 0, H50)))</f>
        <v>0</v>
      </c>
      <c r="I51" s="3">
        <f>(((B51/B50)-(C51/C50))*H50)-IF(H51&lt;&gt;H50, Inputs!$B$4, 0)</f>
        <v>0</v>
      </c>
      <c r="J51" s="2">
        <f>J50*(1+I51)</f>
        <v>0</v>
      </c>
      <c r="K51" s="3">
        <f>(B51-B50)/B50</f>
        <v>0</v>
      </c>
      <c r="L51" s="2">
        <f>MAX(J$2:J51)</f>
        <v>0</v>
      </c>
      <c r="M51" s="3">
        <f>(J51-L51)/L51</f>
        <v>0</v>
      </c>
    </row>
    <row r="52" spans="1:13">
      <c r="A52" t="s">
        <v>75</v>
      </c>
      <c r="B52" s="2">
        <v>32.0727</v>
      </c>
      <c r="C52" s="2">
        <v>195.4595588</v>
      </c>
      <c r="D52" s="2">
        <f>B52/C52</f>
        <v>0</v>
      </c>
      <c r="E52" s="2">
        <f>(D52*(2/(Inputs!$B$1+1)))+(E51*(1-(2/(Inputs!$B$1+1))))</f>
        <v>0</v>
      </c>
      <c r="F52" s="2">
        <f>STDEV.S(OFFSET(D52, -(MIN(Inputs!$B$1, ROW()-1)-1), 0, MIN(Inputs!$B$1, ROW()-1), 1))</f>
        <v>0</v>
      </c>
      <c r="G52" s="2">
        <f>IF(F52=0, 0, (D52-E52)/F52)</f>
        <v>0</v>
      </c>
      <c r="H52">
        <f>IF(H51=0, IF(G52&gt;Inputs!$B$2, -1, IF(G52&lt;-Inputs!$B$2, 1, 0)), IF(AND(H51=1, G52&gt;-Inputs!$B$3), 0, IF(AND(H51=-1, G52&lt;Inputs!$B$3), 0, H51)))</f>
        <v>0</v>
      </c>
      <c r="I52" s="3">
        <f>(((B52/B51)-(C52/C51))*H51)-IF(H52&lt;&gt;H51, Inputs!$B$4, 0)</f>
        <v>0</v>
      </c>
      <c r="J52" s="2">
        <f>J51*(1+I52)</f>
        <v>0</v>
      </c>
      <c r="K52" s="3">
        <f>(B52-B51)/B51</f>
        <v>0</v>
      </c>
      <c r="L52" s="2">
        <f>MAX(J$2:J52)</f>
        <v>0</v>
      </c>
      <c r="M52" s="3">
        <f>(J52-L52)/L52</f>
        <v>0</v>
      </c>
    </row>
    <row r="53" spans="1:13">
      <c r="A53" t="s">
        <v>76</v>
      </c>
      <c r="B53" s="2">
        <v>32.6992</v>
      </c>
      <c r="C53" s="2">
        <v>198.9695232</v>
      </c>
      <c r="D53" s="2">
        <f>B53/C53</f>
        <v>0</v>
      </c>
      <c r="E53" s="2">
        <f>(D53*(2/(Inputs!$B$1+1)))+(E52*(1-(2/(Inputs!$B$1+1))))</f>
        <v>0</v>
      </c>
      <c r="F53" s="2">
        <f>STDEV.S(OFFSET(D53, -(MIN(Inputs!$B$1, ROW()-1)-1), 0, MIN(Inputs!$B$1, ROW()-1), 1))</f>
        <v>0</v>
      </c>
      <c r="G53" s="2">
        <f>IF(F53=0, 0, (D53-E53)/F53)</f>
        <v>0</v>
      </c>
      <c r="H53">
        <f>IF(H52=0, IF(G53&gt;Inputs!$B$2, -1, IF(G53&lt;-Inputs!$B$2, 1, 0)), IF(AND(H52=1, G53&gt;-Inputs!$B$3), 0, IF(AND(H52=-1, G53&lt;Inputs!$B$3), 0, H52)))</f>
        <v>0</v>
      </c>
      <c r="I53" s="3">
        <f>(((B53/B52)-(C53/C52))*H52)-IF(H53&lt;&gt;H52, Inputs!$B$4, 0)</f>
        <v>0</v>
      </c>
      <c r="J53" s="2">
        <f>J52*(1+I53)</f>
        <v>0</v>
      </c>
      <c r="K53" s="3">
        <f>(B53-B52)/B52</f>
        <v>0</v>
      </c>
      <c r="L53" s="2">
        <f>MAX(J$2:J53)</f>
        <v>0</v>
      </c>
      <c r="M53" s="3">
        <f>(J53-L53)/L53</f>
        <v>0</v>
      </c>
    </row>
    <row r="54" spans="1:13">
      <c r="A54" t="s">
        <v>77</v>
      </c>
      <c r="B54" s="2">
        <v>33.0498</v>
      </c>
      <c r="C54" s="2">
        <v>202.22752</v>
      </c>
      <c r="D54" s="2">
        <f>B54/C54</f>
        <v>0</v>
      </c>
      <c r="E54" s="2">
        <f>(D54*(2/(Inputs!$B$1+1)))+(E53*(1-(2/(Inputs!$B$1+1))))</f>
        <v>0</v>
      </c>
      <c r="F54" s="2">
        <f>STDEV.S(OFFSET(D54, -(MIN(Inputs!$B$1, ROW()-1)-1), 0, MIN(Inputs!$B$1, ROW()-1), 1))</f>
        <v>0</v>
      </c>
      <c r="G54" s="2">
        <f>IF(F54=0, 0, (D54-E54)/F54)</f>
        <v>0</v>
      </c>
      <c r="H54">
        <f>IF(H53=0, IF(G54&gt;Inputs!$B$2, -1, IF(G54&lt;-Inputs!$B$2, 1, 0)), IF(AND(H53=1, G54&gt;-Inputs!$B$3), 0, IF(AND(H53=-1, G54&lt;Inputs!$B$3), 0, H53)))</f>
        <v>0</v>
      </c>
      <c r="I54" s="3">
        <f>(((B54/B53)-(C54/C53))*H53)-IF(H54&lt;&gt;H53, Inputs!$B$4, 0)</f>
        <v>0</v>
      </c>
      <c r="J54" s="2">
        <f>J53*(1+I54)</f>
        <v>0</v>
      </c>
      <c r="K54" s="3">
        <f>(B54-B53)/B53</f>
        <v>0</v>
      </c>
      <c r="L54" s="2">
        <f>MAX(J$2:J54)</f>
        <v>0</v>
      </c>
      <c r="M54" s="3">
        <f>(J54-L54)/L54</f>
        <v>0</v>
      </c>
    </row>
    <row r="55" spans="1:13">
      <c r="A55" t="s">
        <v>78</v>
      </c>
      <c r="B55" s="2">
        <v>33.8391</v>
      </c>
      <c r="C55" s="2">
        <v>207.6437736</v>
      </c>
      <c r="D55" s="2">
        <f>B55/C55</f>
        <v>0</v>
      </c>
      <c r="E55" s="2">
        <f>(D55*(2/(Inputs!$B$1+1)))+(E54*(1-(2/(Inputs!$B$1+1))))</f>
        <v>0</v>
      </c>
      <c r="F55" s="2">
        <f>STDEV.S(OFFSET(D55, -(MIN(Inputs!$B$1, ROW()-1)-1), 0, MIN(Inputs!$B$1, ROW()-1), 1))</f>
        <v>0</v>
      </c>
      <c r="G55" s="2">
        <f>IF(F55=0, 0, (D55-E55)/F55)</f>
        <v>0</v>
      </c>
      <c r="H55">
        <f>IF(H54=0, IF(G55&gt;Inputs!$B$2, -1, IF(G55&lt;-Inputs!$B$2, 1, 0)), IF(AND(H54=1, G55&gt;-Inputs!$B$3), 0, IF(AND(H54=-1, G55&lt;Inputs!$B$3), 0, H54)))</f>
        <v>0</v>
      </c>
      <c r="I55" s="3">
        <f>(((B55/B54)-(C55/C54))*H54)-IF(H55&lt;&gt;H54, Inputs!$B$4, 0)</f>
        <v>0</v>
      </c>
      <c r="J55" s="2">
        <f>J54*(1+I55)</f>
        <v>0</v>
      </c>
      <c r="K55" s="3">
        <f>(B55-B54)/B54</f>
        <v>0</v>
      </c>
      <c r="L55" s="2">
        <f>MAX(J$2:J55)</f>
        <v>0</v>
      </c>
      <c r="M55" s="3">
        <f>(J55-L55)/L55</f>
        <v>0</v>
      </c>
    </row>
    <row r="56" spans="1:13">
      <c r="A56" t="s">
        <v>79</v>
      </c>
      <c r="B56" s="2">
        <v>29.4329</v>
      </c>
      <c r="C56" s="2">
        <v>178.7359392</v>
      </c>
      <c r="D56" s="2">
        <f>B56/C56</f>
        <v>0</v>
      </c>
      <c r="E56" s="2">
        <f>(D56*(2/(Inputs!$B$1+1)))+(E55*(1-(2/(Inputs!$B$1+1))))</f>
        <v>0</v>
      </c>
      <c r="F56" s="2">
        <f>STDEV.S(OFFSET(D56, -(MIN(Inputs!$B$1, ROW()-1)-1), 0, MIN(Inputs!$B$1, ROW()-1), 1))</f>
        <v>0</v>
      </c>
      <c r="G56" s="2">
        <f>IF(F56=0, 0, (D56-E56)/F56)</f>
        <v>0</v>
      </c>
      <c r="H56">
        <f>IF(H55=0, IF(G56&gt;Inputs!$B$2, -1, IF(G56&lt;-Inputs!$B$2, 1, 0)), IF(AND(H55=1, G56&gt;-Inputs!$B$3), 0, IF(AND(H55=-1, G56&lt;Inputs!$B$3), 0, H55)))</f>
        <v>0</v>
      </c>
      <c r="I56" s="3">
        <f>(((B56/B55)-(C56/C55))*H55)-IF(H56&lt;&gt;H55, Inputs!$B$4, 0)</f>
        <v>0</v>
      </c>
      <c r="J56" s="2">
        <f>J55*(1+I56)</f>
        <v>0</v>
      </c>
      <c r="K56" s="3">
        <f>(B56-B55)/B55</f>
        <v>0</v>
      </c>
      <c r="L56" s="2">
        <f>MAX(J$2:J56)</f>
        <v>0</v>
      </c>
      <c r="M56" s="3">
        <f>(J56-L56)/L56</f>
        <v>0</v>
      </c>
    </row>
    <row r="57" spans="1:13">
      <c r="A57" t="s">
        <v>80</v>
      </c>
      <c r="B57" s="2">
        <v>24.3406</v>
      </c>
      <c r="C57" s="2">
        <v>151.75475</v>
      </c>
      <c r="D57" s="2">
        <f>B57/C57</f>
        <v>0</v>
      </c>
      <c r="E57" s="2">
        <f>(D57*(2/(Inputs!$B$1+1)))+(E56*(1-(2/(Inputs!$B$1+1))))</f>
        <v>0</v>
      </c>
      <c r="F57" s="2">
        <f>STDEV.S(OFFSET(D57, -(MIN(Inputs!$B$1, ROW()-1)-1), 0, MIN(Inputs!$B$1, ROW()-1), 1))</f>
        <v>0</v>
      </c>
      <c r="G57" s="2">
        <f>IF(F57=0, 0, (D57-E57)/F57)</f>
        <v>0</v>
      </c>
      <c r="H57">
        <f>IF(H56=0, IF(G57&gt;Inputs!$B$2, -1, IF(G57&lt;-Inputs!$B$2, 1, 0)), IF(AND(H56=1, G57&gt;-Inputs!$B$3), 0, IF(AND(H56=-1, G57&lt;Inputs!$B$3), 0, H56)))</f>
        <v>0</v>
      </c>
      <c r="I57" s="3">
        <f>(((B57/B56)-(C57/C56))*H56)-IF(H57&lt;&gt;H56, Inputs!$B$4, 0)</f>
        <v>0</v>
      </c>
      <c r="J57" s="2">
        <f>J56*(1+I57)</f>
        <v>0</v>
      </c>
      <c r="K57" s="3">
        <f>(B57-B56)/B56</f>
        <v>0</v>
      </c>
      <c r="L57" s="2">
        <f>MAX(J$2:J57)</f>
        <v>0</v>
      </c>
      <c r="M57" s="3">
        <f>(J57-L57)/L57</f>
        <v>0</v>
      </c>
    </row>
    <row r="58" spans="1:13">
      <c r="A58" t="s">
        <v>81</v>
      </c>
      <c r="B58" s="2">
        <v>26.7091</v>
      </c>
      <c r="C58" s="2">
        <v>163.96508</v>
      </c>
      <c r="D58" s="2">
        <f>B58/C58</f>
        <v>0</v>
      </c>
      <c r="E58" s="2">
        <f>(D58*(2/(Inputs!$B$1+1)))+(E57*(1-(2/(Inputs!$B$1+1))))</f>
        <v>0</v>
      </c>
      <c r="F58" s="2">
        <f>STDEV.S(OFFSET(D58, -(MIN(Inputs!$B$1, ROW()-1)-1), 0, MIN(Inputs!$B$1, ROW()-1), 1))</f>
        <v>0</v>
      </c>
      <c r="G58" s="2">
        <f>IF(F58=0, 0, (D58-E58)/F58)</f>
        <v>0</v>
      </c>
      <c r="H58">
        <f>IF(H57=0, IF(G58&gt;Inputs!$B$2, -1, IF(G58&lt;-Inputs!$B$2, 1, 0)), IF(AND(H57=1, G58&gt;-Inputs!$B$3), 0, IF(AND(H57=-1, G58&lt;Inputs!$B$3), 0, H57)))</f>
        <v>0</v>
      </c>
      <c r="I58" s="3">
        <f>(((B58/B57)-(C58/C57))*H57)-IF(H58&lt;&gt;H57, Inputs!$B$4, 0)</f>
        <v>0</v>
      </c>
      <c r="J58" s="2">
        <f>J57*(1+I58)</f>
        <v>0</v>
      </c>
      <c r="K58" s="3">
        <f>(B58-B57)/B57</f>
        <v>0</v>
      </c>
      <c r="L58" s="2">
        <f>MAX(J$2:J58)</f>
        <v>0</v>
      </c>
      <c r="M58" s="3">
        <f>(J58-L58)/L58</f>
        <v>0</v>
      </c>
    </row>
    <row r="59" spans="1:13">
      <c r="A59" t="s">
        <v>82</v>
      </c>
      <c r="B59" s="2">
        <v>28.4065</v>
      </c>
      <c r="C59" s="2">
        <v>173.786618</v>
      </c>
      <c r="D59" s="2">
        <f>B59/C59</f>
        <v>0</v>
      </c>
      <c r="E59" s="2">
        <f>(D59*(2/(Inputs!$B$1+1)))+(E58*(1-(2/(Inputs!$B$1+1))))</f>
        <v>0</v>
      </c>
      <c r="F59" s="2">
        <f>STDEV.S(OFFSET(D59, -(MIN(Inputs!$B$1, ROW()-1)-1), 0, MIN(Inputs!$B$1, ROW()-1), 1))</f>
        <v>0</v>
      </c>
      <c r="G59" s="2">
        <f>IF(F59=0, 0, (D59-E59)/F59)</f>
        <v>0</v>
      </c>
      <c r="H59">
        <f>IF(H58=0, IF(G59&gt;Inputs!$B$2, -1, IF(G59&lt;-Inputs!$B$2, 1, 0)), IF(AND(H58=1, G59&gt;-Inputs!$B$3), 0, IF(AND(H58=-1, G59&lt;Inputs!$B$3), 0, H58)))</f>
        <v>0</v>
      </c>
      <c r="I59" s="3">
        <f>(((B59/B58)-(C59/C58))*H58)-IF(H59&lt;&gt;H58, Inputs!$B$4, 0)</f>
        <v>0</v>
      </c>
      <c r="J59" s="2">
        <f>J58*(1+I59)</f>
        <v>0</v>
      </c>
      <c r="K59" s="3">
        <f>(B59-B58)/B58</f>
        <v>0</v>
      </c>
      <c r="L59" s="2">
        <f>MAX(J$2:J59)</f>
        <v>0</v>
      </c>
      <c r="M59" s="3">
        <f>(J59-L59)/L59</f>
        <v>0</v>
      </c>
    </row>
    <row r="60" spans="1:13">
      <c r="A60" t="s">
        <v>83</v>
      </c>
      <c r="B60" s="2">
        <v>27.3604</v>
      </c>
      <c r="C60" s="2">
        <v>166.4205782</v>
      </c>
      <c r="D60" s="2">
        <f>B60/C60</f>
        <v>0</v>
      </c>
      <c r="E60" s="2">
        <f>(D60*(2/(Inputs!$B$1+1)))+(E59*(1-(2/(Inputs!$B$1+1))))</f>
        <v>0</v>
      </c>
      <c r="F60" s="2">
        <f>STDEV.S(OFFSET(D60, -(MIN(Inputs!$B$1, ROW()-1)-1), 0, MIN(Inputs!$B$1, ROW()-1), 1))</f>
        <v>0</v>
      </c>
      <c r="G60" s="2">
        <f>IF(F60=0, 0, (D60-E60)/F60)</f>
        <v>0</v>
      </c>
      <c r="H60">
        <f>IF(H59=0, IF(G60&gt;Inputs!$B$2, -1, IF(G60&lt;-Inputs!$B$2, 1, 0)), IF(AND(H59=1, G60&gt;-Inputs!$B$3), 0, IF(AND(H59=-1, G60&lt;Inputs!$B$3), 0, H59)))</f>
        <v>0</v>
      </c>
      <c r="I60" s="3">
        <f>(((B60/B59)-(C60/C59))*H59)-IF(H60&lt;&gt;H59, Inputs!$B$4, 0)</f>
        <v>0</v>
      </c>
      <c r="J60" s="2">
        <f>J59*(1+I60)</f>
        <v>0</v>
      </c>
      <c r="K60" s="3">
        <f>(B60-B59)/B59</f>
        <v>0</v>
      </c>
      <c r="L60" s="2">
        <f>MAX(J$2:J60)</f>
        <v>0</v>
      </c>
      <c r="M60" s="3">
        <f>(J60-L60)/L60</f>
        <v>0</v>
      </c>
    </row>
    <row r="61" spans="1:13">
      <c r="A61" t="s">
        <v>84</v>
      </c>
      <c r="B61" s="2">
        <v>28.3424</v>
      </c>
      <c r="C61" s="2">
        <v>174.5151174</v>
      </c>
      <c r="D61" s="2">
        <f>B61/C61</f>
        <v>0</v>
      </c>
      <c r="E61" s="2">
        <f>(D61*(2/(Inputs!$B$1+1)))+(E60*(1-(2/(Inputs!$B$1+1))))</f>
        <v>0</v>
      </c>
      <c r="F61" s="2">
        <f>STDEV.S(OFFSET(D61, -(MIN(Inputs!$B$1, ROW()-1)-1), 0, MIN(Inputs!$B$1, ROW()-1), 1))</f>
        <v>0</v>
      </c>
      <c r="G61" s="2">
        <f>IF(F61=0, 0, (D61-E61)/F61)</f>
        <v>0</v>
      </c>
      <c r="H61">
        <f>IF(H60=0, IF(G61&gt;Inputs!$B$2, -1, IF(G61&lt;-Inputs!$B$2, 1, 0)), IF(AND(H60=1, G61&gt;-Inputs!$B$3), 0, IF(AND(H60=-1, G61&lt;Inputs!$B$3), 0, H60)))</f>
        <v>0</v>
      </c>
      <c r="I61" s="3">
        <f>(((B61/B60)-(C61/C60))*H60)-IF(H61&lt;&gt;H60, Inputs!$B$4, 0)</f>
        <v>0</v>
      </c>
      <c r="J61" s="2">
        <f>J60*(1+I61)</f>
        <v>0</v>
      </c>
      <c r="K61" s="3">
        <f>(B61-B60)/B60</f>
        <v>0</v>
      </c>
      <c r="L61" s="2">
        <f>MAX(J$2:J61)</f>
        <v>0</v>
      </c>
      <c r="M61" s="3">
        <f>(J61-L61)/L61</f>
        <v>0</v>
      </c>
    </row>
    <row r="62" spans="1:13">
      <c r="A62" t="s">
        <v>85</v>
      </c>
      <c r="B62" s="2">
        <v>29.2256</v>
      </c>
      <c r="C62" s="2">
        <v>176.328803</v>
      </c>
      <c r="D62" s="2">
        <f>B62/C62</f>
        <v>0</v>
      </c>
      <c r="E62" s="2">
        <f>(D62*(2/(Inputs!$B$1+1)))+(E61*(1-(2/(Inputs!$B$1+1))))</f>
        <v>0</v>
      </c>
      <c r="F62" s="2">
        <f>STDEV.S(OFFSET(D62, -(MIN(Inputs!$B$1, ROW()-1)-1), 0, MIN(Inputs!$B$1, ROW()-1), 1))</f>
        <v>0</v>
      </c>
      <c r="G62" s="2">
        <f>IF(F62=0, 0, (D62-E62)/F62)</f>
        <v>0</v>
      </c>
      <c r="H62">
        <f>IF(H61=0, IF(G62&gt;Inputs!$B$2, -1, IF(G62&lt;-Inputs!$B$2, 1, 0)), IF(AND(H61=1, G62&gt;-Inputs!$B$3), 0, IF(AND(H61=-1, G62&lt;Inputs!$B$3), 0, H61)))</f>
        <v>0</v>
      </c>
      <c r="I62" s="3">
        <f>(((B62/B61)-(C62/C61))*H61)-IF(H62&lt;&gt;H61, Inputs!$B$4, 0)</f>
        <v>0</v>
      </c>
      <c r="J62" s="2">
        <f>J61*(1+I62)</f>
        <v>0</v>
      </c>
      <c r="K62" s="3">
        <f>(B62-B61)/B61</f>
        <v>0</v>
      </c>
      <c r="L62" s="2">
        <f>MAX(J$2:J62)</f>
        <v>0</v>
      </c>
      <c r="M62" s="3">
        <f>(J62-L62)/L62</f>
        <v>0</v>
      </c>
    </row>
    <row r="63" spans="1:13">
      <c r="A63" t="s">
        <v>86</v>
      </c>
      <c r="B63" s="2">
        <v>30.0793</v>
      </c>
      <c r="C63" s="2">
        <v>185.899411</v>
      </c>
      <c r="D63" s="2">
        <f>B63/C63</f>
        <v>0</v>
      </c>
      <c r="E63" s="2">
        <f>(D63*(2/(Inputs!$B$1+1)))+(E62*(1-(2/(Inputs!$B$1+1))))</f>
        <v>0</v>
      </c>
      <c r="F63" s="2">
        <f>STDEV.S(OFFSET(D63, -(MIN(Inputs!$B$1, ROW()-1)-1), 0, MIN(Inputs!$B$1, ROW()-1), 1))</f>
        <v>0</v>
      </c>
      <c r="G63" s="2">
        <f>IF(F63=0, 0, (D63-E63)/F63)</f>
        <v>0</v>
      </c>
      <c r="H63">
        <f>IF(H62=0, IF(G63&gt;Inputs!$B$2, -1, IF(G63&lt;-Inputs!$B$2, 1, 0)), IF(AND(H62=1, G63&gt;-Inputs!$B$3), 0, IF(AND(H62=-1, G63&lt;Inputs!$B$3), 0, H62)))</f>
        <v>0</v>
      </c>
      <c r="I63" s="3">
        <f>(((B63/B62)-(C63/C62))*H62)-IF(H63&lt;&gt;H62, Inputs!$B$4, 0)</f>
        <v>0</v>
      </c>
      <c r="J63" s="2">
        <f>J62*(1+I63)</f>
        <v>0</v>
      </c>
      <c r="K63" s="3">
        <f>(B63-B62)/B62</f>
        <v>0</v>
      </c>
      <c r="L63" s="2">
        <f>MAX(J$2:J63)</f>
        <v>0</v>
      </c>
      <c r="M63" s="3">
        <f>(J63-L63)/L63</f>
        <v>0</v>
      </c>
    </row>
    <row r="64" spans="1:13">
      <c r="A64" t="s">
        <v>87</v>
      </c>
      <c r="B64" s="2">
        <v>31.5743</v>
      </c>
      <c r="C64" s="2">
        <v>193.87645</v>
      </c>
      <c r="D64" s="2">
        <f>B64/C64</f>
        <v>0</v>
      </c>
      <c r="E64" s="2">
        <f>(D64*(2/(Inputs!$B$1+1)))+(E63*(1-(2/(Inputs!$B$1+1))))</f>
        <v>0</v>
      </c>
      <c r="F64" s="2">
        <f>STDEV.S(OFFSET(D64, -(MIN(Inputs!$B$1, ROW()-1)-1), 0, MIN(Inputs!$B$1, ROW()-1), 1))</f>
        <v>0</v>
      </c>
      <c r="G64" s="2">
        <f>IF(F64=0, 0, (D64-E64)/F64)</f>
        <v>0</v>
      </c>
      <c r="H64">
        <f>IF(H63=0, IF(G64&gt;Inputs!$B$2, -1, IF(G64&lt;-Inputs!$B$2, 1, 0)), IF(AND(H63=1, G64&gt;-Inputs!$B$3), 0, IF(AND(H63=-1, G64&lt;Inputs!$B$3), 0, H63)))</f>
        <v>0</v>
      </c>
      <c r="I64" s="3">
        <f>(((B64/B63)-(C64/C63))*H63)-IF(H64&lt;&gt;H63, Inputs!$B$4, 0)</f>
        <v>0</v>
      </c>
      <c r="J64" s="2">
        <f>J63*(1+I64)</f>
        <v>0</v>
      </c>
      <c r="K64" s="3">
        <f>(B64-B63)/B63</f>
        <v>0</v>
      </c>
      <c r="L64" s="2">
        <f>MAX(J$2:J64)</f>
        <v>0</v>
      </c>
      <c r="M64" s="3">
        <f>(J64-L64)/L64</f>
        <v>0</v>
      </c>
    </row>
    <row r="65" spans="1:13">
      <c r="A65" t="s">
        <v>88</v>
      </c>
      <c r="B65" s="2">
        <v>32.6303</v>
      </c>
      <c r="C65" s="2">
        <v>199.2573645</v>
      </c>
      <c r="D65" s="2">
        <f>B65/C65</f>
        <v>0</v>
      </c>
      <c r="E65" s="2">
        <f>(D65*(2/(Inputs!$B$1+1)))+(E64*(1-(2/(Inputs!$B$1+1))))</f>
        <v>0</v>
      </c>
      <c r="F65" s="2">
        <f>STDEV.S(OFFSET(D65, -(MIN(Inputs!$B$1, ROW()-1)-1), 0, MIN(Inputs!$B$1, ROW()-1), 1))</f>
        <v>0</v>
      </c>
      <c r="G65" s="2">
        <f>IF(F65=0, 0, (D65-E65)/F65)</f>
        <v>0</v>
      </c>
      <c r="H65">
        <f>IF(H64=0, IF(G65&gt;Inputs!$B$2, -1, IF(G65&lt;-Inputs!$B$2, 1, 0)), IF(AND(H64=1, G65&gt;-Inputs!$B$3), 0, IF(AND(H64=-1, G65&lt;Inputs!$B$3), 0, H64)))</f>
        <v>0</v>
      </c>
      <c r="I65" s="3">
        <f>(((B65/B64)-(C65/C64))*H64)-IF(H65&lt;&gt;H64, Inputs!$B$4, 0)</f>
        <v>0</v>
      </c>
      <c r="J65" s="2">
        <f>J64*(1+I65)</f>
        <v>0</v>
      </c>
      <c r="K65" s="3">
        <f>(B65-B64)/B64</f>
        <v>0</v>
      </c>
      <c r="L65" s="2">
        <f>MAX(J$2:J65)</f>
        <v>0</v>
      </c>
      <c r="M65" s="3">
        <f>(J65-L65)/L65</f>
        <v>0</v>
      </c>
    </row>
    <row r="66" spans="1:13">
      <c r="A66" t="s">
        <v>89</v>
      </c>
      <c r="B66" s="2">
        <v>33.3655</v>
      </c>
      <c r="C66" s="2">
        <v>203.7515454</v>
      </c>
      <c r="D66" s="2">
        <f>B66/C66</f>
        <v>0</v>
      </c>
      <c r="E66" s="2">
        <f>(D66*(2/(Inputs!$B$1+1)))+(E65*(1-(2/(Inputs!$B$1+1))))</f>
        <v>0</v>
      </c>
      <c r="F66" s="2">
        <f>STDEV.S(OFFSET(D66, -(MIN(Inputs!$B$1, ROW()-1)-1), 0, MIN(Inputs!$B$1, ROW()-1), 1))</f>
        <v>0</v>
      </c>
      <c r="G66" s="2">
        <f>IF(F66=0, 0, (D66-E66)/F66)</f>
        <v>0</v>
      </c>
      <c r="H66">
        <f>IF(H65=0, IF(G66&gt;Inputs!$B$2, -1, IF(G66&lt;-Inputs!$B$2, 1, 0)), IF(AND(H65=1, G66&gt;-Inputs!$B$3), 0, IF(AND(H65=-1, G66&lt;Inputs!$B$3), 0, H65)))</f>
        <v>0</v>
      </c>
      <c r="I66" s="3">
        <f>(((B66/B65)-(C66/C65))*H65)-IF(H66&lt;&gt;H65, Inputs!$B$4, 0)</f>
        <v>0</v>
      </c>
      <c r="J66" s="2">
        <f>J65*(1+I66)</f>
        <v>0</v>
      </c>
      <c r="K66" s="3">
        <f>(B66-B65)/B65</f>
        <v>0</v>
      </c>
      <c r="L66" s="2">
        <f>MAX(J$2:J66)</f>
        <v>0</v>
      </c>
      <c r="M66" s="3">
        <f>(J66-L66)/L66</f>
        <v>0</v>
      </c>
    </row>
    <row r="67" spans="1:13">
      <c r="A67" t="s">
        <v>90</v>
      </c>
      <c r="B67" s="2">
        <v>34.9838</v>
      </c>
      <c r="C67" s="2">
        <v>216.1941817</v>
      </c>
      <c r="D67" s="2">
        <f>B67/C67</f>
        <v>0</v>
      </c>
      <c r="E67" s="2">
        <f>(D67*(2/(Inputs!$B$1+1)))+(E66*(1-(2/(Inputs!$B$1+1))))</f>
        <v>0</v>
      </c>
      <c r="F67" s="2">
        <f>STDEV.S(OFFSET(D67, -(MIN(Inputs!$B$1, ROW()-1)-1), 0, MIN(Inputs!$B$1, ROW()-1), 1))</f>
        <v>0</v>
      </c>
      <c r="G67" s="2">
        <f>IF(F67=0, 0, (D67-E67)/F67)</f>
        <v>0</v>
      </c>
      <c r="H67">
        <f>IF(H66=0, IF(G67&gt;Inputs!$B$2, -1, IF(G67&lt;-Inputs!$B$2, 1, 0)), IF(AND(H66=1, G67&gt;-Inputs!$B$3), 0, IF(AND(H66=-1, G67&lt;Inputs!$B$3), 0, H66)))</f>
        <v>0</v>
      </c>
      <c r="I67" s="3">
        <f>(((B67/B66)-(C67/C66))*H66)-IF(H67&lt;&gt;H66, Inputs!$B$4, 0)</f>
        <v>0</v>
      </c>
      <c r="J67" s="2">
        <f>J66*(1+I67)</f>
        <v>0</v>
      </c>
      <c r="K67" s="3">
        <f>(B67-B66)/B66</f>
        <v>0</v>
      </c>
      <c r="L67" s="2">
        <f>MAX(J$2:J67)</f>
        <v>0</v>
      </c>
      <c r="M67" s="3">
        <f>(J67-L67)/L67</f>
        <v>0</v>
      </c>
    </row>
    <row r="68" spans="1:13">
      <c r="A68" t="s">
        <v>91</v>
      </c>
      <c r="B68" s="2">
        <v>35.9509</v>
      </c>
      <c r="C68" s="2">
        <v>220.0944096</v>
      </c>
      <c r="D68" s="2">
        <f>B68/C68</f>
        <v>0</v>
      </c>
      <c r="E68" s="2">
        <f>(D68*(2/(Inputs!$B$1+1)))+(E67*(1-(2/(Inputs!$B$1+1))))</f>
        <v>0</v>
      </c>
      <c r="F68" s="2">
        <f>STDEV.S(OFFSET(D68, -(MIN(Inputs!$B$1, ROW()-1)-1), 0, MIN(Inputs!$B$1, ROW()-1), 1))</f>
        <v>0</v>
      </c>
      <c r="G68" s="2">
        <f>IF(F68=0, 0, (D68-E68)/F68)</f>
        <v>0</v>
      </c>
      <c r="H68">
        <f>IF(H67=0, IF(G68&gt;Inputs!$B$2, -1, IF(G68&lt;-Inputs!$B$2, 1, 0)), IF(AND(H67=1, G68&gt;-Inputs!$B$3), 0, IF(AND(H67=-1, G68&lt;Inputs!$B$3), 0, H67)))</f>
        <v>0</v>
      </c>
      <c r="I68" s="3">
        <f>(((B68/B67)-(C68/C67))*H67)-IF(H68&lt;&gt;H67, Inputs!$B$4, 0)</f>
        <v>0</v>
      </c>
      <c r="J68" s="2">
        <f>J67*(1+I68)</f>
        <v>0</v>
      </c>
      <c r="K68" s="3">
        <f>(B68-B67)/B67</f>
        <v>0</v>
      </c>
      <c r="L68" s="2">
        <f>MAX(J$2:J68)</f>
        <v>0</v>
      </c>
      <c r="M68" s="3">
        <f>(J68-L68)/L68</f>
        <v>0</v>
      </c>
    </row>
    <row r="69" spans="1:13">
      <c r="A69" t="s">
        <v>92</v>
      </c>
      <c r="B69" s="2">
        <v>34.6384</v>
      </c>
      <c r="C69" s="2">
        <v>211.229019</v>
      </c>
      <c r="D69" s="2">
        <f>B69/C69</f>
        <v>0</v>
      </c>
      <c r="E69" s="2">
        <f>(D69*(2/(Inputs!$B$1+1)))+(E68*(1-(2/(Inputs!$B$1+1))))</f>
        <v>0</v>
      </c>
      <c r="F69" s="2">
        <f>STDEV.S(OFFSET(D69, -(MIN(Inputs!$B$1, ROW()-1)-1), 0, MIN(Inputs!$B$1, ROW()-1), 1))</f>
        <v>0</v>
      </c>
      <c r="G69" s="2">
        <f>IF(F69=0, 0, (D69-E69)/F69)</f>
        <v>0</v>
      </c>
      <c r="H69">
        <f>IF(H68=0, IF(G69&gt;Inputs!$B$2, -1, IF(G69&lt;-Inputs!$B$2, 1, 0)), IF(AND(H68=1, G69&gt;-Inputs!$B$3), 0, IF(AND(H68=-1, G69&lt;Inputs!$B$3), 0, H68)))</f>
        <v>0</v>
      </c>
      <c r="I69" s="3">
        <f>(((B69/B68)-(C69/C68))*H68)-IF(H69&lt;&gt;H68, Inputs!$B$4, 0)</f>
        <v>0</v>
      </c>
      <c r="J69" s="2">
        <f>J68*(1+I69)</f>
        <v>0</v>
      </c>
      <c r="K69" s="3">
        <f>(B69-B68)/B68</f>
        <v>0</v>
      </c>
      <c r="L69" s="2">
        <f>MAX(J$2:J69)</f>
        <v>0</v>
      </c>
      <c r="M69" s="3">
        <f>(J69-L69)/L69</f>
        <v>0</v>
      </c>
    </row>
    <row r="70" spans="1:13">
      <c r="A70" t="s">
        <v>93</v>
      </c>
      <c r="B70" s="2">
        <v>33.4197</v>
      </c>
      <c r="C70" s="2">
        <v>202.7519505</v>
      </c>
      <c r="D70" s="2">
        <f>B70/C70</f>
        <v>0</v>
      </c>
      <c r="E70" s="2">
        <f>(D70*(2/(Inputs!$B$1+1)))+(E69*(1-(2/(Inputs!$B$1+1))))</f>
        <v>0</v>
      </c>
      <c r="F70" s="2">
        <f>STDEV.S(OFFSET(D70, -(MIN(Inputs!$B$1, ROW()-1)-1), 0, MIN(Inputs!$B$1, ROW()-1), 1))</f>
        <v>0</v>
      </c>
      <c r="G70" s="2">
        <f>IF(F70=0, 0, (D70-E70)/F70)</f>
        <v>0</v>
      </c>
      <c r="H70">
        <f>IF(H69=0, IF(G70&gt;Inputs!$B$2, -1, IF(G70&lt;-Inputs!$B$2, 1, 0)), IF(AND(H69=1, G70&gt;-Inputs!$B$3), 0, IF(AND(H69=-1, G70&lt;Inputs!$B$3), 0, H69)))</f>
        <v>0</v>
      </c>
      <c r="I70" s="3">
        <f>(((B70/B69)-(C70/C69))*H69)-IF(H70&lt;&gt;H69, Inputs!$B$4, 0)</f>
        <v>0</v>
      </c>
      <c r="J70" s="2">
        <f>J69*(1+I70)</f>
        <v>0</v>
      </c>
      <c r="K70" s="3">
        <f>(B70-B69)/B69</f>
        <v>0</v>
      </c>
      <c r="L70" s="2">
        <f>MAX(J$2:J70)</f>
        <v>0</v>
      </c>
      <c r="M70" s="3">
        <f>(J70-L70)/L70</f>
        <v>0</v>
      </c>
    </row>
    <row r="71" spans="1:13">
      <c r="A71" t="s">
        <v>94</v>
      </c>
      <c r="B71" s="2">
        <v>33.2815</v>
      </c>
      <c r="C71" s="2">
        <v>203.2065741</v>
      </c>
      <c r="D71" s="2">
        <f>B71/C71</f>
        <v>0</v>
      </c>
      <c r="E71" s="2">
        <f>(D71*(2/(Inputs!$B$1+1)))+(E70*(1-(2/(Inputs!$B$1+1))))</f>
        <v>0</v>
      </c>
      <c r="F71" s="2">
        <f>STDEV.S(OFFSET(D71, -(MIN(Inputs!$B$1, ROW()-1)-1), 0, MIN(Inputs!$B$1, ROW()-1), 1))</f>
        <v>0</v>
      </c>
      <c r="G71" s="2">
        <f>IF(F71=0, 0, (D71-E71)/F71)</f>
        <v>0</v>
      </c>
      <c r="H71">
        <f>IF(H70=0, IF(G71&gt;Inputs!$B$2, -1, IF(G71&lt;-Inputs!$B$2, 1, 0)), IF(AND(H70=1, G71&gt;-Inputs!$B$3), 0, IF(AND(H70=-1, G71&lt;Inputs!$B$3), 0, H70)))</f>
        <v>0</v>
      </c>
      <c r="I71" s="3">
        <f>(((B71/B70)-(C71/C70))*H70)-IF(H71&lt;&gt;H70, Inputs!$B$4, 0)</f>
        <v>0</v>
      </c>
      <c r="J71" s="2">
        <f>J70*(1+I71)</f>
        <v>0</v>
      </c>
      <c r="K71" s="3">
        <f>(B71-B70)/B70</f>
        <v>0</v>
      </c>
      <c r="L71" s="2">
        <f>MAX(J$2:J71)</f>
        <v>0</v>
      </c>
      <c r="M71" s="3">
        <f>(J71-L71)/L71</f>
        <v>0</v>
      </c>
    </row>
    <row r="72" spans="1:13">
      <c r="A72" t="s">
        <v>95</v>
      </c>
      <c r="B72" s="2">
        <v>33.6122</v>
      </c>
      <c r="C72" s="2">
        <v>205.2824298</v>
      </c>
      <c r="D72" s="2">
        <f>B72/C72</f>
        <v>0</v>
      </c>
      <c r="E72" s="2">
        <f>(D72*(2/(Inputs!$B$1+1)))+(E71*(1-(2/(Inputs!$B$1+1))))</f>
        <v>0</v>
      </c>
      <c r="F72" s="2">
        <f>STDEV.S(OFFSET(D72, -(MIN(Inputs!$B$1, ROW()-1)-1), 0, MIN(Inputs!$B$1, ROW()-1), 1))</f>
        <v>0</v>
      </c>
      <c r="G72" s="2">
        <f>IF(F72=0, 0, (D72-E72)/F72)</f>
        <v>0</v>
      </c>
      <c r="H72">
        <f>IF(H71=0, IF(G72&gt;Inputs!$B$2, -1, IF(G72&lt;-Inputs!$B$2, 1, 0)), IF(AND(H71=1, G72&gt;-Inputs!$B$3), 0, IF(AND(H71=-1, G72&lt;Inputs!$B$3), 0, H71)))</f>
        <v>0</v>
      </c>
      <c r="I72" s="3">
        <f>(((B72/B71)-(C72/C71))*H71)-IF(H72&lt;&gt;H71, Inputs!$B$4, 0)</f>
        <v>0</v>
      </c>
      <c r="J72" s="2">
        <f>J71*(1+I72)</f>
        <v>0</v>
      </c>
      <c r="K72" s="3">
        <f>(B72-B71)/B71</f>
        <v>0</v>
      </c>
      <c r="L72" s="2">
        <f>MAX(J$2:J72)</f>
        <v>0</v>
      </c>
      <c r="M72" s="3">
        <f>(J72-L72)/L72</f>
        <v>0</v>
      </c>
    </row>
    <row r="73" spans="1:13">
      <c r="A73" t="s">
        <v>96</v>
      </c>
      <c r="B73" s="2">
        <v>33.1878</v>
      </c>
      <c r="C73" s="2">
        <v>201.690624</v>
      </c>
      <c r="D73" s="2">
        <f>B73/C73</f>
        <v>0</v>
      </c>
      <c r="E73" s="2">
        <f>(D73*(2/(Inputs!$B$1+1)))+(E72*(1-(2/(Inputs!$B$1+1))))</f>
        <v>0</v>
      </c>
      <c r="F73" s="2">
        <f>STDEV.S(OFFSET(D73, -(MIN(Inputs!$B$1, ROW()-1)-1), 0, MIN(Inputs!$B$1, ROW()-1), 1))</f>
        <v>0</v>
      </c>
      <c r="G73" s="2">
        <f>IF(F73=0, 0, (D73-E73)/F73)</f>
        <v>0</v>
      </c>
      <c r="H73">
        <f>IF(H72=0, IF(G73&gt;Inputs!$B$2, -1, IF(G73&lt;-Inputs!$B$2, 1, 0)), IF(AND(H72=1, G73&gt;-Inputs!$B$3), 0, IF(AND(H72=-1, G73&lt;Inputs!$B$3), 0, H72)))</f>
        <v>0</v>
      </c>
      <c r="I73" s="3">
        <f>(((B73/B72)-(C73/C72))*H72)-IF(H73&lt;&gt;H72, Inputs!$B$4, 0)</f>
        <v>0</v>
      </c>
      <c r="J73" s="2">
        <f>J72*(1+I73)</f>
        <v>0</v>
      </c>
      <c r="K73" s="3">
        <f>(B73-B72)/B72</f>
        <v>0</v>
      </c>
      <c r="L73" s="2">
        <f>MAX(J$2:J73)</f>
        <v>0</v>
      </c>
      <c r="M73" s="3">
        <f>(J73-L73)/L73</f>
        <v>0</v>
      </c>
    </row>
    <row r="74" spans="1:13">
      <c r="A74" t="s">
        <v>97</v>
      </c>
      <c r="B74" s="2">
        <v>30.1187</v>
      </c>
      <c r="C74" s="2">
        <v>184.201446</v>
      </c>
      <c r="D74" s="2">
        <f>B74/C74</f>
        <v>0</v>
      </c>
      <c r="E74" s="2">
        <f>(D74*(2/(Inputs!$B$1+1)))+(E73*(1-(2/(Inputs!$B$1+1))))</f>
        <v>0</v>
      </c>
      <c r="F74" s="2">
        <f>STDEV.S(OFFSET(D74, -(MIN(Inputs!$B$1, ROW()-1)-1), 0, MIN(Inputs!$B$1, ROW()-1), 1))</f>
        <v>0</v>
      </c>
      <c r="G74" s="2">
        <f>IF(F74=0, 0, (D74-E74)/F74)</f>
        <v>0</v>
      </c>
      <c r="H74">
        <f>IF(H73=0, IF(G74&gt;Inputs!$B$2, -1, IF(G74&lt;-Inputs!$B$2, 1, 0)), IF(AND(H73=1, G74&gt;-Inputs!$B$3), 0, IF(AND(H73=-1, G74&lt;Inputs!$B$3), 0, H73)))</f>
        <v>0</v>
      </c>
      <c r="I74" s="3">
        <f>(((B74/B73)-(C74/C73))*H73)-IF(H74&lt;&gt;H73, Inputs!$B$4, 0)</f>
        <v>0</v>
      </c>
      <c r="J74" s="2">
        <f>J73*(1+I74)</f>
        <v>0</v>
      </c>
      <c r="K74" s="3">
        <f>(B74-B73)/B73</f>
        <v>0</v>
      </c>
      <c r="L74" s="2">
        <f>MAX(J$2:J74)</f>
        <v>0</v>
      </c>
      <c r="M74" s="3">
        <f>(J74-L74)/L74</f>
        <v>0</v>
      </c>
    </row>
    <row r="75" spans="1:13">
      <c r="A75" t="s">
        <v>98</v>
      </c>
      <c r="B75" s="2">
        <v>30.1681</v>
      </c>
      <c r="C75" s="2">
        <v>184.4559216</v>
      </c>
      <c r="D75" s="2">
        <f>B75/C75</f>
        <v>0</v>
      </c>
      <c r="E75" s="2">
        <f>(D75*(2/(Inputs!$B$1+1)))+(E74*(1-(2/(Inputs!$B$1+1))))</f>
        <v>0</v>
      </c>
      <c r="F75" s="2">
        <f>STDEV.S(OFFSET(D75, -(MIN(Inputs!$B$1, ROW()-1)-1), 0, MIN(Inputs!$B$1, ROW()-1), 1))</f>
        <v>0</v>
      </c>
      <c r="G75" s="2">
        <f>IF(F75=0, 0, (D75-E75)/F75)</f>
        <v>0</v>
      </c>
      <c r="H75">
        <f>IF(H74=0, IF(G75&gt;Inputs!$B$2, -1, IF(G75&lt;-Inputs!$B$2, 1, 0)), IF(AND(H74=1, G75&gt;-Inputs!$B$3), 0, IF(AND(H74=-1, G75&lt;Inputs!$B$3), 0, H74)))</f>
        <v>0</v>
      </c>
      <c r="I75" s="3">
        <f>(((B75/B74)-(C75/C74))*H74)-IF(H75&lt;&gt;H74, Inputs!$B$4, 0)</f>
        <v>0</v>
      </c>
      <c r="J75" s="2">
        <f>J74*(1+I75)</f>
        <v>0</v>
      </c>
      <c r="K75" s="3">
        <f>(B75-B74)/B74</f>
        <v>0</v>
      </c>
      <c r="L75" s="2">
        <f>MAX(J$2:J75)</f>
        <v>0</v>
      </c>
      <c r="M75" s="3">
        <f>(J75-L75)/L75</f>
        <v>0</v>
      </c>
    </row>
    <row r="76" spans="1:13">
      <c r="A76" t="s">
        <v>99</v>
      </c>
      <c r="B76" s="2">
        <v>30.3999</v>
      </c>
      <c r="C76" s="2">
        <v>184.280895</v>
      </c>
      <c r="D76" s="2">
        <f>B76/C76</f>
        <v>0</v>
      </c>
      <c r="E76" s="2">
        <f>(D76*(2/(Inputs!$B$1+1)))+(E75*(1-(2/(Inputs!$B$1+1))))</f>
        <v>0</v>
      </c>
      <c r="F76" s="2">
        <f>STDEV.S(OFFSET(D76, -(MIN(Inputs!$B$1, ROW()-1)-1), 0, MIN(Inputs!$B$1, ROW()-1), 1))</f>
        <v>0</v>
      </c>
      <c r="G76" s="2">
        <f>IF(F76=0, 0, (D76-E76)/F76)</f>
        <v>0</v>
      </c>
      <c r="H76">
        <f>IF(H75=0, IF(G76&gt;Inputs!$B$2, -1, IF(G76&lt;-Inputs!$B$2, 1, 0)), IF(AND(H75=1, G76&gt;-Inputs!$B$3), 0, IF(AND(H75=-1, G76&lt;Inputs!$B$3), 0, H75)))</f>
        <v>0</v>
      </c>
      <c r="I76" s="3">
        <f>(((B76/B75)-(C76/C75))*H75)-IF(H76&lt;&gt;H75, Inputs!$B$4, 0)</f>
        <v>0</v>
      </c>
      <c r="J76" s="2">
        <f>J75*(1+I76)</f>
        <v>0</v>
      </c>
      <c r="K76" s="3">
        <f>(B76-B75)/B75</f>
        <v>0</v>
      </c>
      <c r="L76" s="2">
        <f>MAX(J$2:J76)</f>
        <v>0</v>
      </c>
      <c r="M76" s="3">
        <f>(J76-L76)/L76</f>
        <v>0</v>
      </c>
    </row>
    <row r="77" spans="1:13">
      <c r="A77" t="s">
        <v>100</v>
      </c>
      <c r="B77" s="2">
        <v>29.4971</v>
      </c>
      <c r="C77" s="2">
        <v>179.6836104</v>
      </c>
      <c r="D77" s="2">
        <f>B77/C77</f>
        <v>0</v>
      </c>
      <c r="E77" s="2">
        <f>(D77*(2/(Inputs!$B$1+1)))+(E76*(1-(2/(Inputs!$B$1+1))))</f>
        <v>0</v>
      </c>
      <c r="F77" s="2">
        <f>STDEV.S(OFFSET(D77, -(MIN(Inputs!$B$1, ROW()-1)-1), 0, MIN(Inputs!$B$1, ROW()-1), 1))</f>
        <v>0</v>
      </c>
      <c r="G77" s="2">
        <f>IF(F77=0, 0, (D77-E77)/F77)</f>
        <v>0</v>
      </c>
      <c r="H77">
        <f>IF(H76=0, IF(G77&gt;Inputs!$B$2, -1, IF(G77&lt;-Inputs!$B$2, 1, 0)), IF(AND(H76=1, G77&gt;-Inputs!$B$3), 0, IF(AND(H76=-1, G77&lt;Inputs!$B$3), 0, H76)))</f>
        <v>0</v>
      </c>
      <c r="I77" s="3">
        <f>(((B77/B76)-(C77/C76))*H76)-IF(H77&lt;&gt;H76, Inputs!$B$4, 0)</f>
        <v>0</v>
      </c>
      <c r="J77" s="2">
        <f>J76*(1+I77)</f>
        <v>0</v>
      </c>
      <c r="K77" s="3">
        <f>(B77-B76)/B76</f>
        <v>0</v>
      </c>
      <c r="L77" s="2">
        <f>MAX(J$2:J77)</f>
        <v>0</v>
      </c>
      <c r="M77" s="3">
        <f>(J77-L77)/L77</f>
        <v>0</v>
      </c>
    </row>
    <row r="78" spans="1:13">
      <c r="A78" t="s">
        <v>101</v>
      </c>
      <c r="B78" s="2">
        <v>30.1878</v>
      </c>
      <c r="C78" s="2">
        <v>184.561821</v>
      </c>
      <c r="D78" s="2">
        <f>B78/C78</f>
        <v>0</v>
      </c>
      <c r="E78" s="2">
        <f>(D78*(2/(Inputs!$B$1+1)))+(E77*(1-(2/(Inputs!$B$1+1))))</f>
        <v>0</v>
      </c>
      <c r="F78" s="2">
        <f>STDEV.S(OFFSET(D78, -(MIN(Inputs!$B$1, ROW()-1)-1), 0, MIN(Inputs!$B$1, ROW()-1), 1))</f>
        <v>0</v>
      </c>
      <c r="G78" s="2">
        <f>IF(F78=0, 0, (D78-E78)/F78)</f>
        <v>0</v>
      </c>
      <c r="H78">
        <f>IF(H77=0, IF(G78&gt;Inputs!$B$2, -1, IF(G78&lt;-Inputs!$B$2, 1, 0)), IF(AND(H77=1, G78&gt;-Inputs!$B$3), 0, IF(AND(H77=-1, G78&lt;Inputs!$B$3), 0, H77)))</f>
        <v>0</v>
      </c>
      <c r="I78" s="3">
        <f>(((B78/B77)-(C78/C77))*H77)-IF(H78&lt;&gt;H77, Inputs!$B$4, 0)</f>
        <v>0</v>
      </c>
      <c r="J78" s="2">
        <f>J77*(1+I78)</f>
        <v>0</v>
      </c>
      <c r="K78" s="3">
        <f>(B78-B77)/B77</f>
        <v>0</v>
      </c>
      <c r="L78" s="2">
        <f>MAX(J$2:J78)</f>
        <v>0</v>
      </c>
      <c r="M78" s="3">
        <f>(J78-L78)/L78</f>
        <v>0</v>
      </c>
    </row>
    <row r="79" spans="1:13">
      <c r="A79" t="s">
        <v>102</v>
      </c>
      <c r="B79" s="2">
        <v>32.6401</v>
      </c>
      <c r="C79" s="2">
        <v>201.65909</v>
      </c>
      <c r="D79" s="2">
        <f>B79/C79</f>
        <v>0</v>
      </c>
      <c r="E79" s="2">
        <f>(D79*(2/(Inputs!$B$1+1)))+(E78*(1-(2/(Inputs!$B$1+1))))</f>
        <v>0</v>
      </c>
      <c r="F79" s="2">
        <f>STDEV.S(OFFSET(D79, -(MIN(Inputs!$B$1, ROW()-1)-1), 0, MIN(Inputs!$B$1, ROW()-1), 1))</f>
        <v>0</v>
      </c>
      <c r="G79" s="2">
        <f>IF(F79=0, 0, (D79-E79)/F79)</f>
        <v>0</v>
      </c>
      <c r="H79">
        <f>IF(H78=0, IF(G79&gt;Inputs!$B$2, -1, IF(G79&lt;-Inputs!$B$2, 1, 0)), IF(AND(H78=1, G79&gt;-Inputs!$B$3), 0, IF(AND(H78=-1, G79&lt;Inputs!$B$3), 0, H78)))</f>
        <v>0</v>
      </c>
      <c r="I79" s="3">
        <f>(((B79/B78)-(C79/C78))*H78)-IF(H79&lt;&gt;H78, Inputs!$B$4, 0)</f>
        <v>0</v>
      </c>
      <c r="J79" s="2">
        <f>J78*(1+I79)</f>
        <v>0</v>
      </c>
      <c r="K79" s="3">
        <f>(B79-B78)/B78</f>
        <v>0</v>
      </c>
      <c r="L79" s="2">
        <f>MAX(J$2:J79)</f>
        <v>0</v>
      </c>
      <c r="M79" s="3">
        <f>(J79-L79)/L79</f>
        <v>0</v>
      </c>
    </row>
    <row r="80" spans="1:13">
      <c r="A80" t="s">
        <v>103</v>
      </c>
      <c r="B80" s="2">
        <v>32.7733</v>
      </c>
      <c r="C80" s="2">
        <v>199.8841416</v>
      </c>
      <c r="D80" s="2">
        <f>B80/C80</f>
        <v>0</v>
      </c>
      <c r="E80" s="2">
        <f>(D80*(2/(Inputs!$B$1+1)))+(E79*(1-(2/(Inputs!$B$1+1))))</f>
        <v>0</v>
      </c>
      <c r="F80" s="2">
        <f>STDEV.S(OFFSET(D80, -(MIN(Inputs!$B$1, ROW()-1)-1), 0, MIN(Inputs!$B$1, ROW()-1), 1))</f>
        <v>0</v>
      </c>
      <c r="G80" s="2">
        <f>IF(F80=0, 0, (D80-E80)/F80)</f>
        <v>0</v>
      </c>
      <c r="H80">
        <f>IF(H79=0, IF(G80&gt;Inputs!$B$2, -1, IF(G80&lt;-Inputs!$B$2, 1, 0)), IF(AND(H79=1, G80&gt;-Inputs!$B$3), 0, IF(AND(H79=-1, G80&lt;Inputs!$B$3), 0, H79)))</f>
        <v>0</v>
      </c>
      <c r="I80" s="3">
        <f>(((B80/B79)-(C80/C79))*H79)-IF(H80&lt;&gt;H79, Inputs!$B$4, 0)</f>
        <v>0</v>
      </c>
      <c r="J80" s="2">
        <f>J79*(1+I80)</f>
        <v>0</v>
      </c>
      <c r="K80" s="3">
        <f>(B80-B79)/B79</f>
        <v>0</v>
      </c>
      <c r="L80" s="2">
        <f>MAX(J$2:J80)</f>
        <v>0</v>
      </c>
      <c r="M80" s="3">
        <f>(J80-L80)/L80</f>
        <v>0</v>
      </c>
    </row>
    <row r="81" spans="1:13">
      <c r="A81" t="s">
        <v>104</v>
      </c>
      <c r="B81" s="2">
        <v>33.4049</v>
      </c>
      <c r="C81" s="2">
        <v>204.1830336</v>
      </c>
      <c r="D81" s="2">
        <f>B81/C81</f>
        <v>0</v>
      </c>
      <c r="E81" s="2">
        <f>(D81*(2/(Inputs!$B$1+1)))+(E80*(1-(2/(Inputs!$B$1+1))))</f>
        <v>0</v>
      </c>
      <c r="F81" s="2">
        <f>STDEV.S(OFFSET(D81, -(MIN(Inputs!$B$1, ROW()-1)-1), 0, MIN(Inputs!$B$1, ROW()-1), 1))</f>
        <v>0</v>
      </c>
      <c r="G81" s="2">
        <f>IF(F81=0, 0, (D81-E81)/F81)</f>
        <v>0</v>
      </c>
      <c r="H81">
        <f>IF(H80=0, IF(G81&gt;Inputs!$B$2, -1, IF(G81&lt;-Inputs!$B$2, 1, 0)), IF(AND(H80=1, G81&gt;-Inputs!$B$3), 0, IF(AND(H80=-1, G81&lt;Inputs!$B$3), 0, H80)))</f>
        <v>0</v>
      </c>
      <c r="I81" s="3">
        <f>(((B81/B80)-(C81/C80))*H80)-IF(H81&lt;&gt;H80, Inputs!$B$4, 0)</f>
        <v>0</v>
      </c>
      <c r="J81" s="2">
        <f>J80*(1+I81)</f>
        <v>0</v>
      </c>
      <c r="K81" s="3">
        <f>(B81-B80)/B80</f>
        <v>0</v>
      </c>
      <c r="L81" s="2">
        <f>MAX(J$2:J81)</f>
        <v>0</v>
      </c>
      <c r="M81" s="3">
        <f>(J81-L81)/L81</f>
        <v>0</v>
      </c>
    </row>
    <row r="82" spans="1:13">
      <c r="A82" t="s">
        <v>105</v>
      </c>
      <c r="B82" s="2">
        <v>34.6879</v>
      </c>
      <c r="C82" s="2">
        <v>210.63249</v>
      </c>
      <c r="D82" s="2">
        <f>B82/C82</f>
        <v>0</v>
      </c>
      <c r="E82" s="2">
        <f>(D82*(2/(Inputs!$B$1+1)))+(E81*(1-(2/(Inputs!$B$1+1))))</f>
        <v>0</v>
      </c>
      <c r="F82" s="2">
        <f>STDEV.S(OFFSET(D82, -(MIN(Inputs!$B$1, ROW()-1)-1), 0, MIN(Inputs!$B$1, ROW()-1), 1))</f>
        <v>0</v>
      </c>
      <c r="G82" s="2">
        <f>IF(F82=0, 0, (D82-E82)/F82)</f>
        <v>0</v>
      </c>
      <c r="H82">
        <f>IF(H81=0, IF(G82&gt;Inputs!$B$2, -1, IF(G82&lt;-Inputs!$B$2, 1, 0)), IF(AND(H81=1, G82&gt;-Inputs!$B$3), 0, IF(AND(H81=-1, G82&lt;Inputs!$B$3), 0, H81)))</f>
        <v>0</v>
      </c>
      <c r="I82" s="3">
        <f>(((B82/B81)-(C82/C81))*H81)-IF(H82&lt;&gt;H81, Inputs!$B$4, 0)</f>
        <v>0</v>
      </c>
      <c r="J82" s="2">
        <f>J81*(1+I82)</f>
        <v>0</v>
      </c>
      <c r="K82" s="3">
        <f>(B82-B81)/B81</f>
        <v>0</v>
      </c>
      <c r="L82" s="2">
        <f>MAX(J$2:J82)</f>
        <v>0</v>
      </c>
      <c r="M82" s="3">
        <f>(J82-L82)/L82</f>
        <v>0</v>
      </c>
    </row>
    <row r="83" spans="1:13">
      <c r="A83" t="s">
        <v>106</v>
      </c>
      <c r="B83" s="2">
        <v>34.6138</v>
      </c>
      <c r="C83" s="2">
        <v>211.4677</v>
      </c>
      <c r="D83" s="2">
        <f>B83/C83</f>
        <v>0</v>
      </c>
      <c r="E83" s="2">
        <f>(D83*(2/(Inputs!$B$1+1)))+(E82*(1-(2/(Inputs!$B$1+1))))</f>
        <v>0</v>
      </c>
      <c r="F83" s="2">
        <f>STDEV.S(OFFSET(D83, -(MIN(Inputs!$B$1, ROW()-1)-1), 0, MIN(Inputs!$B$1, ROW()-1), 1))</f>
        <v>0</v>
      </c>
      <c r="G83" s="2">
        <f>IF(F83=0, 0, (D83-E83)/F83)</f>
        <v>0</v>
      </c>
      <c r="H83">
        <f>IF(H82=0, IF(G83&gt;Inputs!$B$2, -1, IF(G83&lt;-Inputs!$B$2, 1, 0)), IF(AND(H82=1, G83&gt;-Inputs!$B$3), 0, IF(AND(H82=-1, G83&lt;Inputs!$B$3), 0, H82)))</f>
        <v>0</v>
      </c>
      <c r="I83" s="3">
        <f>(((B83/B82)-(C83/C82))*H82)-IF(H83&lt;&gt;H82, Inputs!$B$4, 0)</f>
        <v>0</v>
      </c>
      <c r="J83" s="2">
        <f>J82*(1+I83)</f>
        <v>0</v>
      </c>
      <c r="K83" s="3">
        <f>(B83-B82)/B82</f>
        <v>0</v>
      </c>
      <c r="L83" s="2">
        <f>MAX(J$2:J83)</f>
        <v>0</v>
      </c>
      <c r="M83" s="3">
        <f>(J83-L83)/L83</f>
        <v>0</v>
      </c>
    </row>
    <row r="84" spans="1:13">
      <c r="A84" t="s">
        <v>107</v>
      </c>
      <c r="B84" s="2">
        <v>34.8456</v>
      </c>
      <c r="C84" s="2">
        <v>212.3454642</v>
      </c>
      <c r="D84" s="2">
        <f>B84/C84</f>
        <v>0</v>
      </c>
      <c r="E84" s="2">
        <f>(D84*(2/(Inputs!$B$1+1)))+(E83*(1-(2/(Inputs!$B$1+1))))</f>
        <v>0</v>
      </c>
      <c r="F84" s="2">
        <f>STDEV.S(OFFSET(D84, -(MIN(Inputs!$B$1, ROW()-1)-1), 0, MIN(Inputs!$B$1, ROW()-1), 1))</f>
        <v>0</v>
      </c>
      <c r="G84" s="2">
        <f>IF(F84=0, 0, (D84-E84)/F84)</f>
        <v>0</v>
      </c>
      <c r="H84">
        <f>IF(H83=0, IF(G84&gt;Inputs!$B$2, -1, IF(G84&lt;-Inputs!$B$2, 1, 0)), IF(AND(H83=1, G84&gt;-Inputs!$B$3), 0, IF(AND(H83=-1, G84&lt;Inputs!$B$3), 0, H83)))</f>
        <v>0</v>
      </c>
      <c r="I84" s="3">
        <f>(((B84/B83)-(C84/C83))*H83)-IF(H84&lt;&gt;H83, Inputs!$B$4, 0)</f>
        <v>0</v>
      </c>
      <c r="J84" s="2">
        <f>J83*(1+I84)</f>
        <v>0</v>
      </c>
      <c r="K84" s="3">
        <f>(B84-B83)/B83</f>
        <v>0</v>
      </c>
      <c r="L84" s="2">
        <f>MAX(J$2:J84)</f>
        <v>0</v>
      </c>
      <c r="M84" s="3">
        <f>(J84-L84)/L84</f>
        <v>0</v>
      </c>
    </row>
    <row r="85" spans="1:13">
      <c r="A85" t="s">
        <v>108</v>
      </c>
      <c r="B85" s="2">
        <v>35.1714</v>
      </c>
      <c r="C85" s="2">
        <v>213.921064</v>
      </c>
      <c r="D85" s="2">
        <f>B85/C85</f>
        <v>0</v>
      </c>
      <c r="E85" s="2">
        <f>(D85*(2/(Inputs!$B$1+1)))+(E84*(1-(2/(Inputs!$B$1+1))))</f>
        <v>0</v>
      </c>
      <c r="F85" s="2">
        <f>STDEV.S(OFFSET(D85, -(MIN(Inputs!$B$1, ROW()-1)-1), 0, MIN(Inputs!$B$1, ROW()-1), 1))</f>
        <v>0</v>
      </c>
      <c r="G85" s="2">
        <f>IF(F85=0, 0, (D85-E85)/F85)</f>
        <v>0</v>
      </c>
      <c r="H85">
        <f>IF(H84=0, IF(G85&gt;Inputs!$B$2, -1, IF(G85&lt;-Inputs!$B$2, 1, 0)), IF(AND(H84=1, G85&gt;-Inputs!$B$3), 0, IF(AND(H84=-1, G85&lt;Inputs!$B$3), 0, H84)))</f>
        <v>0</v>
      </c>
      <c r="I85" s="3">
        <f>(((B85/B84)-(C85/C84))*H84)-IF(H85&lt;&gt;H84, Inputs!$B$4, 0)</f>
        <v>0</v>
      </c>
      <c r="J85" s="2">
        <f>J84*(1+I85)</f>
        <v>0</v>
      </c>
      <c r="K85" s="3">
        <f>(B85-B84)/B84</f>
        <v>0</v>
      </c>
      <c r="L85" s="2">
        <f>MAX(J$2:J85)</f>
        <v>0</v>
      </c>
      <c r="M85" s="3">
        <f>(J85-L85)/L85</f>
        <v>0</v>
      </c>
    </row>
    <row r="86" spans="1:13">
      <c r="A86" t="s">
        <v>109</v>
      </c>
      <c r="B86" s="2">
        <v>35.2155</v>
      </c>
      <c r="C86" s="2">
        <v>216.3035973</v>
      </c>
      <c r="D86" s="2">
        <f>B86/C86</f>
        <v>0</v>
      </c>
      <c r="E86" s="2">
        <f>(D86*(2/(Inputs!$B$1+1)))+(E85*(1-(2/(Inputs!$B$1+1))))</f>
        <v>0</v>
      </c>
      <c r="F86" s="2">
        <f>STDEV.S(OFFSET(D86, -(MIN(Inputs!$B$1, ROW()-1)-1), 0, MIN(Inputs!$B$1, ROW()-1), 1))</f>
        <v>0</v>
      </c>
      <c r="G86" s="2">
        <f>IF(F86=0, 0, (D86-E86)/F86)</f>
        <v>0</v>
      </c>
      <c r="H86">
        <f>IF(H85=0, IF(G86&gt;Inputs!$B$2, -1, IF(G86&lt;-Inputs!$B$2, 1, 0)), IF(AND(H85=1, G86&gt;-Inputs!$B$3), 0, IF(AND(H85=-1, G86&lt;Inputs!$B$3), 0, H85)))</f>
        <v>0</v>
      </c>
      <c r="I86" s="3">
        <f>(((B86/B85)-(C86/C85))*H85)-IF(H86&lt;&gt;H85, Inputs!$B$4, 0)</f>
        <v>0</v>
      </c>
      <c r="J86" s="2">
        <f>J85*(1+I86)</f>
        <v>0</v>
      </c>
      <c r="K86" s="3">
        <f>(B86-B85)/B85</f>
        <v>0</v>
      </c>
      <c r="L86" s="2">
        <f>MAX(J$2:J86)</f>
        <v>0</v>
      </c>
      <c r="M86" s="3">
        <f>(J86-L86)/L86</f>
        <v>0</v>
      </c>
    </row>
    <row r="87" spans="1:13">
      <c r="A87" t="s">
        <v>110</v>
      </c>
      <c r="B87" s="2">
        <v>37.0865</v>
      </c>
      <c r="C87" s="2">
        <v>227.2221216</v>
      </c>
      <c r="D87" s="2">
        <f>B87/C87</f>
        <v>0</v>
      </c>
      <c r="E87" s="2">
        <f>(D87*(2/(Inputs!$B$1+1)))+(E86*(1-(2/(Inputs!$B$1+1))))</f>
        <v>0</v>
      </c>
      <c r="F87" s="2">
        <f>STDEV.S(OFFSET(D87, -(MIN(Inputs!$B$1, ROW()-1)-1), 0, MIN(Inputs!$B$1, ROW()-1), 1))</f>
        <v>0</v>
      </c>
      <c r="G87" s="2">
        <f>IF(F87=0, 0, (D87-E87)/F87)</f>
        <v>0</v>
      </c>
      <c r="H87">
        <f>IF(H86=0, IF(G87&gt;Inputs!$B$2, -1, IF(G87&lt;-Inputs!$B$2, 1, 0)), IF(AND(H86=1, G87&gt;-Inputs!$B$3), 0, IF(AND(H86=-1, G87&lt;Inputs!$B$3), 0, H86)))</f>
        <v>0</v>
      </c>
      <c r="I87" s="3">
        <f>(((B87/B86)-(C87/C86))*H86)-IF(H87&lt;&gt;H86, Inputs!$B$4, 0)</f>
        <v>0</v>
      </c>
      <c r="J87" s="2">
        <f>J86*(1+I87)</f>
        <v>0</v>
      </c>
      <c r="K87" s="3">
        <f>(B87-B86)/B86</f>
        <v>0</v>
      </c>
      <c r="L87" s="2">
        <f>MAX(J$2:J87)</f>
        <v>0</v>
      </c>
      <c r="M87" s="3">
        <f>(J87-L87)/L87</f>
        <v>0</v>
      </c>
    </row>
    <row r="88" spans="1:13">
      <c r="A88" t="s">
        <v>111</v>
      </c>
      <c r="B88" s="2">
        <v>36.443</v>
      </c>
      <c r="C88" s="2">
        <v>222.3852972</v>
      </c>
      <c r="D88" s="2">
        <f>B88/C88</f>
        <v>0</v>
      </c>
      <c r="E88" s="2">
        <f>(D88*(2/(Inputs!$B$1+1)))+(E87*(1-(2/(Inputs!$B$1+1))))</f>
        <v>0</v>
      </c>
      <c r="F88" s="2">
        <f>STDEV.S(OFFSET(D88, -(MIN(Inputs!$B$1, ROW()-1)-1), 0, MIN(Inputs!$B$1, ROW()-1), 1))</f>
        <v>0</v>
      </c>
      <c r="G88" s="2">
        <f>IF(F88=0, 0, (D88-E88)/F88)</f>
        <v>0</v>
      </c>
      <c r="H88">
        <f>IF(H87=0, IF(G88&gt;Inputs!$B$2, -1, IF(G88&lt;-Inputs!$B$2, 1, 0)), IF(AND(H87=1, G88&gt;-Inputs!$B$3), 0, IF(AND(H87=-1, G88&lt;Inputs!$B$3), 0, H87)))</f>
        <v>0</v>
      </c>
      <c r="I88" s="3">
        <f>(((B88/B87)-(C88/C87))*H87)-IF(H88&lt;&gt;H87, Inputs!$B$4, 0)</f>
        <v>0</v>
      </c>
      <c r="J88" s="2">
        <f>J87*(1+I88)</f>
        <v>0</v>
      </c>
      <c r="K88" s="3">
        <f>(B88-B87)/B87</f>
        <v>0</v>
      </c>
      <c r="L88" s="2">
        <f>MAX(J$2:J88)</f>
        <v>0</v>
      </c>
      <c r="M88" s="3">
        <f>(J88-L88)/L88</f>
        <v>0</v>
      </c>
    </row>
    <row r="89" spans="1:13">
      <c r="A89" t="s">
        <v>112</v>
      </c>
      <c r="B89" s="2">
        <v>35.7798</v>
      </c>
      <c r="C89" s="2">
        <v>211.353486</v>
      </c>
      <c r="D89" s="2">
        <f>B89/C89</f>
        <v>0</v>
      </c>
      <c r="E89" s="2">
        <f>(D89*(2/(Inputs!$B$1+1)))+(E88*(1-(2/(Inputs!$B$1+1))))</f>
        <v>0</v>
      </c>
      <c r="F89" s="2">
        <f>STDEV.S(OFFSET(D89, -(MIN(Inputs!$B$1, ROW()-1)-1), 0, MIN(Inputs!$B$1, ROW()-1), 1))</f>
        <v>0</v>
      </c>
      <c r="G89" s="2">
        <f>IF(F89=0, 0, (D89-E89)/F89)</f>
        <v>0</v>
      </c>
      <c r="H89">
        <f>IF(H88=0, IF(G89&gt;Inputs!$B$2, -1, IF(G89&lt;-Inputs!$B$2, 1, 0)), IF(AND(H88=1, G89&gt;-Inputs!$B$3), 0, IF(AND(H88=-1, G89&lt;Inputs!$B$3), 0, H88)))</f>
        <v>0</v>
      </c>
      <c r="I89" s="3">
        <f>(((B89/B88)-(C89/C88))*H88)-IF(H89&lt;&gt;H88, Inputs!$B$4, 0)</f>
        <v>0</v>
      </c>
      <c r="J89" s="2">
        <f>J88*(1+I89)</f>
        <v>0</v>
      </c>
      <c r="K89" s="3">
        <f>(B89-B88)/B88</f>
        <v>0</v>
      </c>
      <c r="L89" s="2">
        <f>MAX(J$2:J89)</f>
        <v>0</v>
      </c>
      <c r="M89" s="3">
        <f>(J89-L89)/L89</f>
        <v>0</v>
      </c>
    </row>
    <row r="90" spans="1:13">
      <c r="A90" t="s">
        <v>113</v>
      </c>
      <c r="B90" s="2">
        <v>34.0224</v>
      </c>
      <c r="C90" s="2">
        <v>207.4046976</v>
      </c>
      <c r="D90" s="2">
        <f>B90/C90</f>
        <v>0</v>
      </c>
      <c r="E90" s="2">
        <f>(D90*(2/(Inputs!$B$1+1)))+(E89*(1-(2/(Inputs!$B$1+1))))</f>
        <v>0</v>
      </c>
      <c r="F90" s="2">
        <f>STDEV.S(OFFSET(D90, -(MIN(Inputs!$B$1, ROW()-1)-1), 0, MIN(Inputs!$B$1, ROW()-1), 1))</f>
        <v>0</v>
      </c>
      <c r="G90" s="2">
        <f>IF(F90=0, 0, (D90-E90)/F90)</f>
        <v>0</v>
      </c>
      <c r="H90">
        <f>IF(H89=0, IF(G90&gt;Inputs!$B$2, -1, IF(G90&lt;-Inputs!$B$2, 1, 0)), IF(AND(H89=1, G90&gt;-Inputs!$B$3), 0, IF(AND(H89=-1, G90&lt;Inputs!$B$3), 0, H89)))</f>
        <v>0</v>
      </c>
      <c r="I90" s="3">
        <f>(((B90/B89)-(C90/C89))*H89)-IF(H90&lt;&gt;H89, Inputs!$B$4, 0)</f>
        <v>0</v>
      </c>
      <c r="J90" s="2">
        <f>J89*(1+I90)</f>
        <v>0</v>
      </c>
      <c r="K90" s="3">
        <f>(B90-B89)/B89</f>
        <v>0</v>
      </c>
      <c r="L90" s="2">
        <f>MAX(J$2:J90)</f>
        <v>0</v>
      </c>
      <c r="M90" s="3">
        <f>(J90-L90)/L90</f>
        <v>0</v>
      </c>
    </row>
    <row r="91" spans="1:13">
      <c r="A91" t="s">
        <v>114</v>
      </c>
      <c r="B91" s="2">
        <v>35.6412</v>
      </c>
      <c r="C91" s="2">
        <v>217.639552</v>
      </c>
      <c r="D91" s="2">
        <f>B91/C91</f>
        <v>0</v>
      </c>
      <c r="E91" s="2">
        <f>(D91*(2/(Inputs!$B$1+1)))+(E90*(1-(2/(Inputs!$B$1+1))))</f>
        <v>0</v>
      </c>
      <c r="F91" s="2">
        <f>STDEV.S(OFFSET(D91, -(MIN(Inputs!$B$1, ROW()-1)-1), 0, MIN(Inputs!$B$1, ROW()-1), 1))</f>
        <v>0</v>
      </c>
      <c r="G91" s="2">
        <f>IF(F91=0, 0, (D91-E91)/F91)</f>
        <v>0</v>
      </c>
      <c r="H91">
        <f>IF(H90=0, IF(G91&gt;Inputs!$B$2, -1, IF(G91&lt;-Inputs!$B$2, 1, 0)), IF(AND(H90=1, G91&gt;-Inputs!$B$3), 0, IF(AND(H90=-1, G91&lt;Inputs!$B$3), 0, H90)))</f>
        <v>0</v>
      </c>
      <c r="I91" s="3">
        <f>(((B91/B90)-(C91/C90))*H90)-IF(H91&lt;&gt;H90, Inputs!$B$4, 0)</f>
        <v>0</v>
      </c>
      <c r="J91" s="2">
        <f>J90*(1+I91)</f>
        <v>0</v>
      </c>
      <c r="K91" s="3">
        <f>(B91-B90)/B90</f>
        <v>0</v>
      </c>
      <c r="L91" s="2">
        <f>MAX(J$2:J91)</f>
        <v>0</v>
      </c>
      <c r="M91" s="3">
        <f>(J91-L91)/L91</f>
        <v>0</v>
      </c>
    </row>
    <row r="92" spans="1:13">
      <c r="A92" t="s">
        <v>115</v>
      </c>
      <c r="B92" s="2">
        <v>34.9779</v>
      </c>
      <c r="C92" s="2">
        <v>213.2515668</v>
      </c>
      <c r="D92" s="2">
        <f>B92/C92</f>
        <v>0</v>
      </c>
      <c r="E92" s="2">
        <f>(D92*(2/(Inputs!$B$1+1)))+(E91*(1-(2/(Inputs!$B$1+1))))</f>
        <v>0</v>
      </c>
      <c r="F92" s="2">
        <f>STDEV.S(OFFSET(D92, -(MIN(Inputs!$B$1, ROW()-1)-1), 0, MIN(Inputs!$B$1, ROW()-1), 1))</f>
        <v>0</v>
      </c>
      <c r="G92" s="2">
        <f>IF(F92=0, 0, (D92-E92)/F92)</f>
        <v>0</v>
      </c>
      <c r="H92">
        <f>IF(H91=0, IF(G92&gt;Inputs!$B$2, -1, IF(G92&lt;-Inputs!$B$2, 1, 0)), IF(AND(H91=1, G92&gt;-Inputs!$B$3), 0, IF(AND(H91=-1, G92&lt;Inputs!$B$3), 0, H91)))</f>
        <v>0</v>
      </c>
      <c r="I92" s="3">
        <f>(((B92/B91)-(C92/C91))*H91)-IF(H92&lt;&gt;H91, Inputs!$B$4, 0)</f>
        <v>0</v>
      </c>
      <c r="J92" s="2">
        <f>J91*(1+I92)</f>
        <v>0</v>
      </c>
      <c r="K92" s="3">
        <f>(B92-B91)/B91</f>
        <v>0</v>
      </c>
      <c r="L92" s="2">
        <f>MAX(J$2:J92)</f>
        <v>0</v>
      </c>
      <c r="M92" s="3">
        <f>(J92-L92)/L92</f>
        <v>0</v>
      </c>
    </row>
    <row r="93" spans="1:13">
      <c r="A93" t="s">
        <v>116</v>
      </c>
      <c r="B93" s="2">
        <v>35.8985</v>
      </c>
      <c r="C93" s="2">
        <v>217.959448</v>
      </c>
      <c r="D93" s="2">
        <f>B93/C93</f>
        <v>0</v>
      </c>
      <c r="E93" s="2">
        <f>(D93*(2/(Inputs!$B$1+1)))+(E92*(1-(2/(Inputs!$B$1+1))))</f>
        <v>0</v>
      </c>
      <c r="F93" s="2">
        <f>STDEV.S(OFFSET(D93, -(MIN(Inputs!$B$1, ROW()-1)-1), 0, MIN(Inputs!$B$1, ROW()-1), 1))</f>
        <v>0</v>
      </c>
      <c r="G93" s="2">
        <f>IF(F93=0, 0, (D93-E93)/F93)</f>
        <v>0</v>
      </c>
      <c r="H93">
        <f>IF(H92=0, IF(G93&gt;Inputs!$B$2, -1, IF(G93&lt;-Inputs!$B$2, 1, 0)), IF(AND(H92=1, G93&gt;-Inputs!$B$3), 0, IF(AND(H92=-1, G93&lt;Inputs!$B$3), 0, H92)))</f>
        <v>0</v>
      </c>
      <c r="I93" s="3">
        <f>(((B93/B92)-(C93/C92))*H92)-IF(H93&lt;&gt;H92, Inputs!$B$4, 0)</f>
        <v>0</v>
      </c>
      <c r="J93" s="2">
        <f>J92*(1+I93)</f>
        <v>0</v>
      </c>
      <c r="K93" s="3">
        <f>(B93-B92)/B92</f>
        <v>0</v>
      </c>
      <c r="L93" s="2">
        <f>MAX(J$2:J93)</f>
        <v>0</v>
      </c>
      <c r="M93" s="3">
        <f>(J93-L93)/L93</f>
        <v>0</v>
      </c>
    </row>
    <row r="94" spans="1:13">
      <c r="A94" t="s">
        <v>117</v>
      </c>
      <c r="B94" s="2">
        <v>36.2947</v>
      </c>
      <c r="C94" s="2">
        <v>221.98547</v>
      </c>
      <c r="D94" s="2">
        <f>B94/C94</f>
        <v>0</v>
      </c>
      <c r="E94" s="2">
        <f>(D94*(2/(Inputs!$B$1+1)))+(E93*(1-(2/(Inputs!$B$1+1))))</f>
        <v>0</v>
      </c>
      <c r="F94" s="2">
        <f>STDEV.S(OFFSET(D94, -(MIN(Inputs!$B$1, ROW()-1)-1), 0, MIN(Inputs!$B$1, ROW()-1), 1))</f>
        <v>0</v>
      </c>
      <c r="G94" s="2">
        <f>IF(F94=0, 0, (D94-E94)/F94)</f>
        <v>0</v>
      </c>
      <c r="H94">
        <f>IF(H93=0, IF(G94&gt;Inputs!$B$2, -1, IF(G94&lt;-Inputs!$B$2, 1, 0)), IF(AND(H93=1, G94&gt;-Inputs!$B$3), 0, IF(AND(H93=-1, G94&lt;Inputs!$B$3), 0, H93)))</f>
        <v>0</v>
      </c>
      <c r="I94" s="3">
        <f>(((B94/B93)-(C94/C93))*H93)-IF(H94&lt;&gt;H93, Inputs!$B$4, 0)</f>
        <v>0</v>
      </c>
      <c r="J94" s="2">
        <f>J93*(1+I94)</f>
        <v>0</v>
      </c>
      <c r="K94" s="3">
        <f>(B94-B93)/B93</f>
        <v>0</v>
      </c>
      <c r="L94" s="2">
        <f>MAX(J$2:J94)</f>
        <v>0</v>
      </c>
      <c r="M94" s="3">
        <f>(J94-L94)/L94</f>
        <v>0</v>
      </c>
    </row>
    <row r="95" spans="1:13">
      <c r="A95" t="s">
        <v>118</v>
      </c>
      <c r="B95" s="2">
        <v>36.2203</v>
      </c>
      <c r="C95" s="2">
        <v>220.8558312</v>
      </c>
      <c r="D95" s="2">
        <f>B95/C95</f>
        <v>0</v>
      </c>
      <c r="E95" s="2">
        <f>(D95*(2/(Inputs!$B$1+1)))+(E94*(1-(2/(Inputs!$B$1+1))))</f>
        <v>0</v>
      </c>
      <c r="F95" s="2">
        <f>STDEV.S(OFFSET(D95, -(MIN(Inputs!$B$1, ROW()-1)-1), 0, MIN(Inputs!$B$1, ROW()-1), 1))</f>
        <v>0</v>
      </c>
      <c r="G95" s="2">
        <f>IF(F95=0, 0, (D95-E95)/F95)</f>
        <v>0</v>
      </c>
      <c r="H95">
        <f>IF(H94=0, IF(G95&gt;Inputs!$B$2, -1, IF(G95&lt;-Inputs!$B$2, 1, 0)), IF(AND(H94=1, G95&gt;-Inputs!$B$3), 0, IF(AND(H94=-1, G95&lt;Inputs!$B$3), 0, H94)))</f>
        <v>0</v>
      </c>
      <c r="I95" s="3">
        <f>(((B95/B94)-(C95/C94))*H94)-IF(H95&lt;&gt;H94, Inputs!$B$4, 0)</f>
        <v>0</v>
      </c>
      <c r="J95" s="2">
        <f>J94*(1+I95)</f>
        <v>0</v>
      </c>
      <c r="K95" s="3">
        <f>(B95-B94)/B94</f>
        <v>0</v>
      </c>
      <c r="L95" s="2">
        <f>MAX(J$2:J95)</f>
        <v>0</v>
      </c>
      <c r="M95" s="3">
        <f>(J95-L95)/L95</f>
        <v>0</v>
      </c>
    </row>
    <row r="96" spans="1:13">
      <c r="A96" t="s">
        <v>119</v>
      </c>
      <c r="B96" s="2">
        <v>37.3441</v>
      </c>
      <c r="C96" s="2">
        <v>227.4711132</v>
      </c>
      <c r="D96" s="2">
        <f>B96/C96</f>
        <v>0</v>
      </c>
      <c r="E96" s="2">
        <f>(D96*(2/(Inputs!$B$1+1)))+(E95*(1-(2/(Inputs!$B$1+1))))</f>
        <v>0</v>
      </c>
      <c r="F96" s="2">
        <f>STDEV.S(OFFSET(D96, -(MIN(Inputs!$B$1, ROW()-1)-1), 0, MIN(Inputs!$B$1, ROW()-1), 1))</f>
        <v>0</v>
      </c>
      <c r="G96" s="2">
        <f>IF(F96=0, 0, (D96-E96)/F96)</f>
        <v>0</v>
      </c>
      <c r="H96">
        <f>IF(H95=0, IF(G96&gt;Inputs!$B$2, -1, IF(G96&lt;-Inputs!$B$2, 1, 0)), IF(AND(H95=1, G96&gt;-Inputs!$B$3), 0, IF(AND(H95=-1, G96&lt;Inputs!$B$3), 0, H95)))</f>
        <v>0</v>
      </c>
      <c r="I96" s="3">
        <f>(((B96/B95)-(C96/C95))*H95)-IF(H96&lt;&gt;H95, Inputs!$B$4, 0)</f>
        <v>0</v>
      </c>
      <c r="J96" s="2">
        <f>J95*(1+I96)</f>
        <v>0</v>
      </c>
      <c r="K96" s="3">
        <f>(B96-B95)/B95</f>
        <v>0</v>
      </c>
      <c r="L96" s="2">
        <f>MAX(J$2:J96)</f>
        <v>0</v>
      </c>
      <c r="M96" s="3">
        <f>(J96-L96)/L96</f>
        <v>0</v>
      </c>
    </row>
    <row r="97" spans="1:13">
      <c r="A97" t="s">
        <v>120</v>
      </c>
      <c r="B97" s="2">
        <v>37.7945</v>
      </c>
      <c r="C97" s="2">
        <v>229.9221661</v>
      </c>
      <c r="D97" s="2">
        <f>B97/C97</f>
        <v>0</v>
      </c>
      <c r="E97" s="2">
        <f>(D97*(2/(Inputs!$B$1+1)))+(E96*(1-(2/(Inputs!$B$1+1))))</f>
        <v>0</v>
      </c>
      <c r="F97" s="2">
        <f>STDEV.S(OFFSET(D97, -(MIN(Inputs!$B$1, ROW()-1)-1), 0, MIN(Inputs!$B$1, ROW()-1), 1))</f>
        <v>0</v>
      </c>
      <c r="G97" s="2">
        <f>IF(F97=0, 0, (D97-E97)/F97)</f>
        <v>0</v>
      </c>
      <c r="H97">
        <f>IF(H96=0, IF(G97&gt;Inputs!$B$2, -1, IF(G97&lt;-Inputs!$B$2, 1, 0)), IF(AND(H96=1, G97&gt;-Inputs!$B$3), 0, IF(AND(H96=-1, G97&lt;Inputs!$B$3), 0, H96)))</f>
        <v>0</v>
      </c>
      <c r="I97" s="3">
        <f>(((B97/B96)-(C97/C96))*H96)-IF(H97&lt;&gt;H96, Inputs!$B$4, 0)</f>
        <v>0</v>
      </c>
      <c r="J97" s="2">
        <f>J96*(1+I97)</f>
        <v>0</v>
      </c>
      <c r="K97" s="3">
        <f>(B97-B96)/B96</f>
        <v>0</v>
      </c>
      <c r="L97" s="2">
        <f>MAX(J$2:J97)</f>
        <v>0</v>
      </c>
      <c r="M97" s="3">
        <f>(J97-L97)/L97</f>
        <v>0</v>
      </c>
    </row>
    <row r="98" spans="1:13">
      <c r="A98" t="s">
        <v>121</v>
      </c>
      <c r="B98" s="2">
        <v>36.255</v>
      </c>
      <c r="C98" s="2">
        <v>221.0778858</v>
      </c>
      <c r="D98" s="2">
        <f>B98/C98</f>
        <v>0</v>
      </c>
      <c r="E98" s="2">
        <f>(D98*(2/(Inputs!$B$1+1)))+(E97*(1-(2/(Inputs!$B$1+1))))</f>
        <v>0</v>
      </c>
      <c r="F98" s="2">
        <f>STDEV.S(OFFSET(D98, -(MIN(Inputs!$B$1, ROW()-1)-1), 0, MIN(Inputs!$B$1, ROW()-1), 1))</f>
        <v>0</v>
      </c>
      <c r="G98" s="2">
        <f>IF(F98=0, 0, (D98-E98)/F98)</f>
        <v>0</v>
      </c>
      <c r="H98">
        <f>IF(H97=0, IF(G98&gt;Inputs!$B$2, -1, IF(G98&lt;-Inputs!$B$2, 1, 0)), IF(AND(H97=1, G98&gt;-Inputs!$B$3), 0, IF(AND(H97=-1, G98&lt;Inputs!$B$3), 0, H97)))</f>
        <v>0</v>
      </c>
      <c r="I98" s="3">
        <f>(((B98/B97)-(C98/C97))*H97)-IF(H98&lt;&gt;H97, Inputs!$B$4, 0)</f>
        <v>0</v>
      </c>
      <c r="J98" s="2">
        <f>J97*(1+I98)</f>
        <v>0</v>
      </c>
      <c r="K98" s="3">
        <f>(B98-B97)/B97</f>
        <v>0</v>
      </c>
      <c r="L98" s="2">
        <f>MAX(J$2:J98)</f>
        <v>0</v>
      </c>
      <c r="M98" s="3">
        <f>(J98-L98)/L98</f>
        <v>0</v>
      </c>
    </row>
    <row r="99" spans="1:13">
      <c r="A99" t="s">
        <v>122</v>
      </c>
      <c r="B99" s="2">
        <v>37.4133</v>
      </c>
      <c r="C99" s="2">
        <v>228.273158</v>
      </c>
      <c r="D99" s="2">
        <f>B99/C99</f>
        <v>0</v>
      </c>
      <c r="E99" s="2">
        <f>(D99*(2/(Inputs!$B$1+1)))+(E98*(1-(2/(Inputs!$B$1+1))))</f>
        <v>0</v>
      </c>
      <c r="F99" s="2">
        <f>STDEV.S(OFFSET(D99, -(MIN(Inputs!$B$1, ROW()-1)-1), 0, MIN(Inputs!$B$1, ROW()-1), 1))</f>
        <v>0</v>
      </c>
      <c r="G99" s="2">
        <f>IF(F99=0, 0, (D99-E99)/F99)</f>
        <v>0</v>
      </c>
      <c r="H99">
        <f>IF(H98=0, IF(G99&gt;Inputs!$B$2, -1, IF(G99&lt;-Inputs!$B$2, 1, 0)), IF(AND(H98=1, G99&gt;-Inputs!$B$3), 0, IF(AND(H98=-1, G99&lt;Inputs!$B$3), 0, H98)))</f>
        <v>0</v>
      </c>
      <c r="I99" s="3">
        <f>(((B99/B98)-(C99/C98))*H98)-IF(H99&lt;&gt;H98, Inputs!$B$4, 0)</f>
        <v>0</v>
      </c>
      <c r="J99" s="2">
        <f>J98*(1+I99)</f>
        <v>0</v>
      </c>
      <c r="K99" s="3">
        <f>(B99-B98)/B98</f>
        <v>0</v>
      </c>
      <c r="L99" s="2">
        <f>MAX(J$2:J99)</f>
        <v>0</v>
      </c>
      <c r="M99" s="3">
        <f>(J99-L99)/L99</f>
        <v>0</v>
      </c>
    </row>
    <row r="100" spans="1:13">
      <c r="A100" t="s">
        <v>123</v>
      </c>
      <c r="B100" s="2">
        <v>36.8589</v>
      </c>
      <c r="C100" s="2">
        <v>225.3335856</v>
      </c>
      <c r="D100" s="2">
        <f>B100/C100</f>
        <v>0</v>
      </c>
      <c r="E100" s="2">
        <f>(D100*(2/(Inputs!$B$1+1)))+(E99*(1-(2/(Inputs!$B$1+1))))</f>
        <v>0</v>
      </c>
      <c r="F100" s="2">
        <f>STDEV.S(OFFSET(D100, -(MIN(Inputs!$B$1, ROW()-1)-1), 0, MIN(Inputs!$B$1, ROW()-1), 1))</f>
        <v>0</v>
      </c>
      <c r="G100" s="2">
        <f>IF(F100=0, 0, (D100-E100)/F100)</f>
        <v>0</v>
      </c>
      <c r="H100">
        <f>IF(H99=0, IF(G100&gt;Inputs!$B$2, -1, IF(G100&lt;-Inputs!$B$2, 1, 0)), IF(AND(H99=1, G100&gt;-Inputs!$B$3), 0, IF(AND(H99=-1, G100&lt;Inputs!$B$3), 0, H99)))</f>
        <v>0</v>
      </c>
      <c r="I100" s="3">
        <f>(((B100/B99)-(C100/C99))*H99)-IF(H100&lt;&gt;H99, Inputs!$B$4, 0)</f>
        <v>0</v>
      </c>
      <c r="J100" s="2">
        <f>J99*(1+I100)</f>
        <v>0</v>
      </c>
      <c r="K100" s="3">
        <f>(B100-B99)/B99</f>
        <v>0</v>
      </c>
      <c r="L100" s="2">
        <f>MAX(J$2:J100)</f>
        <v>0</v>
      </c>
      <c r="M100" s="3">
        <f>(J100-L100)/L100</f>
        <v>0</v>
      </c>
    </row>
    <row r="101" spans="1:13">
      <c r="A101" t="s">
        <v>124</v>
      </c>
      <c r="B101" s="2">
        <v>36.6609</v>
      </c>
      <c r="C101" s="2">
        <v>225.016011</v>
      </c>
      <c r="D101" s="2">
        <f>B101/C101</f>
        <v>0</v>
      </c>
      <c r="E101" s="2">
        <f>(D101*(2/(Inputs!$B$1+1)))+(E100*(1-(2/(Inputs!$B$1+1))))</f>
        <v>0</v>
      </c>
      <c r="F101" s="2">
        <f>STDEV.S(OFFSET(D101, -(MIN(Inputs!$B$1, ROW()-1)-1), 0, MIN(Inputs!$B$1, ROW()-1), 1))</f>
        <v>0</v>
      </c>
      <c r="G101" s="2">
        <f>IF(F101=0, 0, (D101-E101)/F101)</f>
        <v>0</v>
      </c>
      <c r="H101">
        <f>IF(H100=0, IF(G101&gt;Inputs!$B$2, -1, IF(G101&lt;-Inputs!$B$2, 1, 0)), IF(AND(H100=1, G101&gt;-Inputs!$B$3), 0, IF(AND(H100=-1, G101&lt;Inputs!$B$3), 0, H100)))</f>
        <v>0</v>
      </c>
      <c r="I101" s="3">
        <f>(((B101/B100)-(C101/C100))*H100)-IF(H101&lt;&gt;H100, Inputs!$B$4, 0)</f>
        <v>0</v>
      </c>
      <c r="J101" s="2">
        <f>J100*(1+I101)</f>
        <v>0</v>
      </c>
      <c r="K101" s="3">
        <f>(B101-B100)/B100</f>
        <v>0</v>
      </c>
      <c r="L101" s="2">
        <f>MAX(J$2:J101)</f>
        <v>0</v>
      </c>
      <c r="M101" s="3">
        <f>(J101-L101)/L101</f>
        <v>0</v>
      </c>
    </row>
    <row r="102" spans="1:13">
      <c r="A102" t="s">
        <v>125</v>
      </c>
      <c r="B102" s="2">
        <v>36.5347</v>
      </c>
      <c r="C102" s="2">
        <v>221.486239</v>
      </c>
      <c r="D102" s="2">
        <f>B102/C102</f>
        <v>0</v>
      </c>
      <c r="E102" s="2">
        <f>(D102*(2/(Inputs!$B$1+1)))+(E101*(1-(2/(Inputs!$B$1+1))))</f>
        <v>0</v>
      </c>
      <c r="F102" s="2">
        <f>STDEV.S(OFFSET(D102, -(MIN(Inputs!$B$1, ROW()-1)-1), 0, MIN(Inputs!$B$1, ROW()-1), 1))</f>
        <v>0</v>
      </c>
      <c r="G102" s="2">
        <f>IF(F102=0, 0, (D102-E102)/F102)</f>
        <v>0</v>
      </c>
      <c r="H102">
        <f>IF(H101=0, IF(G102&gt;Inputs!$B$2, -1, IF(G102&lt;-Inputs!$B$2, 1, 0)), IF(AND(H101=1, G102&gt;-Inputs!$B$3), 0, IF(AND(H101=-1, G102&lt;Inputs!$B$3), 0, H101)))</f>
        <v>0</v>
      </c>
      <c r="I102" s="3">
        <f>(((B102/B101)-(C102/C101))*H101)-IF(H102&lt;&gt;H101, Inputs!$B$4, 0)</f>
        <v>0</v>
      </c>
      <c r="J102" s="2">
        <f>J101*(1+I102)</f>
        <v>0</v>
      </c>
      <c r="K102" s="3">
        <f>(B102-B101)/B101</f>
        <v>0</v>
      </c>
      <c r="L102" s="2">
        <f>MAX(J$2:J102)</f>
        <v>0</v>
      </c>
      <c r="M102" s="3">
        <f>(J102-L102)/L102</f>
        <v>0</v>
      </c>
    </row>
    <row r="103" spans="1:13">
      <c r="A103" t="s">
        <v>126</v>
      </c>
      <c r="B103" s="2">
        <v>36.7154</v>
      </c>
      <c r="C103" s="2">
        <v>224.3252494</v>
      </c>
      <c r="D103" s="2">
        <f>B103/C103</f>
        <v>0</v>
      </c>
      <c r="E103" s="2">
        <f>(D103*(2/(Inputs!$B$1+1)))+(E102*(1-(2/(Inputs!$B$1+1))))</f>
        <v>0</v>
      </c>
      <c r="F103" s="2">
        <f>STDEV.S(OFFSET(D103, -(MIN(Inputs!$B$1, ROW()-1)-1), 0, MIN(Inputs!$B$1, ROW()-1), 1))</f>
        <v>0</v>
      </c>
      <c r="G103" s="2">
        <f>IF(F103=0, 0, (D103-E103)/F103)</f>
        <v>0</v>
      </c>
      <c r="H103">
        <f>IF(H102=0, IF(G103&gt;Inputs!$B$2, -1, IF(G103&lt;-Inputs!$B$2, 1, 0)), IF(AND(H102=1, G103&gt;-Inputs!$B$3), 0, IF(AND(H102=-1, G103&lt;Inputs!$B$3), 0, H102)))</f>
        <v>0</v>
      </c>
      <c r="I103" s="3">
        <f>(((B103/B102)-(C103/C102))*H102)-IF(H103&lt;&gt;H102, Inputs!$B$4, 0)</f>
        <v>0</v>
      </c>
      <c r="J103" s="2">
        <f>J102*(1+I103)</f>
        <v>0</v>
      </c>
      <c r="K103" s="3">
        <f>(B103-B102)/B102</f>
        <v>0</v>
      </c>
      <c r="L103" s="2">
        <f>MAX(J$2:J103)</f>
        <v>0</v>
      </c>
      <c r="M103" s="3">
        <f>(J103-L103)/L103</f>
        <v>0</v>
      </c>
    </row>
    <row r="104" spans="1:13">
      <c r="A104" t="s">
        <v>127</v>
      </c>
      <c r="B104" s="2">
        <v>36.344</v>
      </c>
      <c r="C104" s="2">
        <v>222.3276048</v>
      </c>
      <c r="D104" s="2">
        <f>B104/C104</f>
        <v>0</v>
      </c>
      <c r="E104" s="2">
        <f>(D104*(2/(Inputs!$B$1+1)))+(E103*(1-(2/(Inputs!$B$1+1))))</f>
        <v>0</v>
      </c>
      <c r="F104" s="2">
        <f>STDEV.S(OFFSET(D104, -(MIN(Inputs!$B$1, ROW()-1)-1), 0, MIN(Inputs!$B$1, ROW()-1), 1))</f>
        <v>0</v>
      </c>
      <c r="G104" s="2">
        <f>IF(F104=0, 0, (D104-E104)/F104)</f>
        <v>0</v>
      </c>
      <c r="H104">
        <f>IF(H103=0, IF(G104&gt;Inputs!$B$2, -1, IF(G104&lt;-Inputs!$B$2, 1, 0)), IF(AND(H103=1, G104&gt;-Inputs!$B$3), 0, IF(AND(H103=-1, G104&lt;Inputs!$B$3), 0, H103)))</f>
        <v>0</v>
      </c>
      <c r="I104" s="3">
        <f>(((B104/B103)-(C104/C103))*H103)-IF(H104&lt;&gt;H103, Inputs!$B$4, 0)</f>
        <v>0</v>
      </c>
      <c r="J104" s="2">
        <f>J103*(1+I104)</f>
        <v>0</v>
      </c>
      <c r="K104" s="3">
        <f>(B104-B103)/B103</f>
        <v>0</v>
      </c>
      <c r="L104" s="2">
        <f>MAX(J$2:J104)</f>
        <v>0</v>
      </c>
      <c r="M104" s="3">
        <f>(J104-L104)/L104</f>
        <v>0</v>
      </c>
    </row>
    <row r="105" spans="1:13">
      <c r="A105" t="s">
        <v>128</v>
      </c>
      <c r="B105" s="2">
        <v>36.9777</v>
      </c>
      <c r="C105" s="2">
        <v>225.2067948</v>
      </c>
      <c r="D105" s="2">
        <f>B105/C105</f>
        <v>0</v>
      </c>
      <c r="E105" s="2">
        <f>(D105*(2/(Inputs!$B$1+1)))+(E104*(1-(2/(Inputs!$B$1+1))))</f>
        <v>0</v>
      </c>
      <c r="F105" s="2">
        <f>STDEV.S(OFFSET(D105, -(MIN(Inputs!$B$1, ROW()-1)-1), 0, MIN(Inputs!$B$1, ROW()-1), 1))</f>
        <v>0</v>
      </c>
      <c r="G105" s="2">
        <f>IF(F105=0, 0, (D105-E105)/F105)</f>
        <v>0</v>
      </c>
      <c r="H105">
        <f>IF(H104=0, IF(G105&gt;Inputs!$B$2, -1, IF(G105&lt;-Inputs!$B$2, 1, 0)), IF(AND(H104=1, G105&gt;-Inputs!$B$3), 0, IF(AND(H104=-1, G105&lt;Inputs!$B$3), 0, H104)))</f>
        <v>0</v>
      </c>
      <c r="I105" s="3">
        <f>(((B105/B104)-(C105/C104))*H104)-IF(H105&lt;&gt;H104, Inputs!$B$4, 0)</f>
        <v>0</v>
      </c>
      <c r="J105" s="2">
        <f>J104*(1+I105)</f>
        <v>0</v>
      </c>
      <c r="K105" s="3">
        <f>(B105-B104)/B104</f>
        <v>0</v>
      </c>
      <c r="L105" s="2">
        <f>MAX(J$2:J105)</f>
        <v>0</v>
      </c>
      <c r="M105" s="3">
        <f>(J105-L105)/L105</f>
        <v>0</v>
      </c>
    </row>
    <row r="106" spans="1:13">
      <c r="A106" t="s">
        <v>129</v>
      </c>
      <c r="B106" s="2">
        <v>37.3341</v>
      </c>
      <c r="C106" s="2">
        <v>228.5339987</v>
      </c>
      <c r="D106" s="2">
        <f>B106/C106</f>
        <v>0</v>
      </c>
      <c r="E106" s="2">
        <f>(D106*(2/(Inputs!$B$1+1)))+(E105*(1-(2/(Inputs!$B$1+1))))</f>
        <v>0</v>
      </c>
      <c r="F106" s="2">
        <f>STDEV.S(OFFSET(D106, -(MIN(Inputs!$B$1, ROW()-1)-1), 0, MIN(Inputs!$B$1, ROW()-1), 1))</f>
        <v>0</v>
      </c>
      <c r="G106" s="2">
        <f>IF(F106=0, 0, (D106-E106)/F106)</f>
        <v>0</v>
      </c>
      <c r="H106">
        <f>IF(H105=0, IF(G106&gt;Inputs!$B$2, -1, IF(G106&lt;-Inputs!$B$2, 1, 0)), IF(AND(H105=1, G106&gt;-Inputs!$B$3), 0, IF(AND(H105=-1, G106&lt;Inputs!$B$3), 0, H105)))</f>
        <v>0</v>
      </c>
      <c r="I106" s="3">
        <f>(((B106/B105)-(C106/C105))*H105)-IF(H106&lt;&gt;H105, Inputs!$B$4, 0)</f>
        <v>0</v>
      </c>
      <c r="J106" s="2">
        <f>J105*(1+I106)</f>
        <v>0</v>
      </c>
      <c r="K106" s="3">
        <f>(B106-B105)/B105</f>
        <v>0</v>
      </c>
      <c r="L106" s="2">
        <f>MAX(J$2:J106)</f>
        <v>0</v>
      </c>
      <c r="M106" s="3">
        <f>(J106-L106)/L106</f>
        <v>0</v>
      </c>
    </row>
    <row r="107" spans="1:13">
      <c r="A107" t="s">
        <v>130</v>
      </c>
      <c r="B107" s="2">
        <v>37.1163</v>
      </c>
      <c r="C107" s="2">
        <v>226.198368</v>
      </c>
      <c r="D107" s="2">
        <f>B107/C107</f>
        <v>0</v>
      </c>
      <c r="E107" s="2">
        <f>(D107*(2/(Inputs!$B$1+1)))+(E106*(1-(2/(Inputs!$B$1+1))))</f>
        <v>0</v>
      </c>
      <c r="F107" s="2">
        <f>STDEV.S(OFFSET(D107, -(MIN(Inputs!$B$1, ROW()-1)-1), 0, MIN(Inputs!$B$1, ROW()-1), 1))</f>
        <v>0</v>
      </c>
      <c r="G107" s="2">
        <f>IF(F107=0, 0, (D107-E107)/F107)</f>
        <v>0</v>
      </c>
      <c r="H107">
        <f>IF(H106=0, IF(G107&gt;Inputs!$B$2, -1, IF(G107&lt;-Inputs!$B$2, 1, 0)), IF(AND(H106=1, G107&gt;-Inputs!$B$3), 0, IF(AND(H106=-1, G107&lt;Inputs!$B$3), 0, H106)))</f>
        <v>0</v>
      </c>
      <c r="I107" s="3">
        <f>(((B107/B106)-(C107/C106))*H106)-IF(H107&lt;&gt;H106, Inputs!$B$4, 0)</f>
        <v>0</v>
      </c>
      <c r="J107" s="2">
        <f>J106*(1+I107)</f>
        <v>0</v>
      </c>
      <c r="K107" s="3">
        <f>(B107-B106)/B106</f>
        <v>0</v>
      </c>
      <c r="L107" s="2">
        <f>MAX(J$2:J107)</f>
        <v>0</v>
      </c>
      <c r="M107" s="3">
        <f>(J107-L107)/L107</f>
        <v>0</v>
      </c>
    </row>
    <row r="108" spans="1:13">
      <c r="A108" t="s">
        <v>131</v>
      </c>
      <c r="B108" s="2">
        <v>37.75</v>
      </c>
      <c r="C108" s="2">
        <v>230.5283694</v>
      </c>
      <c r="D108" s="2">
        <f>B108/C108</f>
        <v>0</v>
      </c>
      <c r="E108" s="2">
        <f>(D108*(2/(Inputs!$B$1+1)))+(E107*(1-(2/(Inputs!$B$1+1))))</f>
        <v>0</v>
      </c>
      <c r="F108" s="2">
        <f>STDEV.S(OFFSET(D108, -(MIN(Inputs!$B$1, ROW()-1)-1), 0, MIN(Inputs!$B$1, ROW()-1), 1))</f>
        <v>0</v>
      </c>
      <c r="G108" s="2">
        <f>IF(F108=0, 0, (D108-E108)/F108)</f>
        <v>0</v>
      </c>
      <c r="H108">
        <f>IF(H107=0, IF(G108&gt;Inputs!$B$2, -1, IF(G108&lt;-Inputs!$B$2, 1, 0)), IF(AND(H107=1, G108&gt;-Inputs!$B$3), 0, IF(AND(H107=-1, G108&lt;Inputs!$B$3), 0, H107)))</f>
        <v>0</v>
      </c>
      <c r="I108" s="3">
        <f>(((B108/B107)-(C108/C107))*H107)-IF(H108&lt;&gt;H107, Inputs!$B$4, 0)</f>
        <v>0</v>
      </c>
      <c r="J108" s="2">
        <f>J107*(1+I108)</f>
        <v>0</v>
      </c>
      <c r="K108" s="3">
        <f>(B108-B107)/B107</f>
        <v>0</v>
      </c>
      <c r="L108" s="2">
        <f>MAX(J$2:J108)</f>
        <v>0</v>
      </c>
      <c r="M108" s="3">
        <f>(J108-L108)/L108</f>
        <v>0</v>
      </c>
    </row>
    <row r="109" spans="1:13">
      <c r="A109" t="s">
        <v>132</v>
      </c>
      <c r="B109" s="2">
        <v>35.2155</v>
      </c>
      <c r="C109" s="2">
        <v>214.22016</v>
      </c>
      <c r="D109" s="2">
        <f>B109/C109</f>
        <v>0</v>
      </c>
      <c r="E109" s="2">
        <f>(D109*(2/(Inputs!$B$1+1)))+(E108*(1-(2/(Inputs!$B$1+1))))</f>
        <v>0</v>
      </c>
      <c r="F109" s="2">
        <f>STDEV.S(OFFSET(D109, -(MIN(Inputs!$B$1, ROW()-1)-1), 0, MIN(Inputs!$B$1, ROW()-1), 1))</f>
        <v>0</v>
      </c>
      <c r="G109" s="2">
        <f>IF(F109=0, 0, (D109-E109)/F109)</f>
        <v>0</v>
      </c>
      <c r="H109">
        <f>IF(H108=0, IF(G109&gt;Inputs!$B$2, -1, IF(G109&lt;-Inputs!$B$2, 1, 0)), IF(AND(H108=1, G109&gt;-Inputs!$B$3), 0, IF(AND(H108=-1, G109&lt;Inputs!$B$3), 0, H108)))</f>
        <v>0</v>
      </c>
      <c r="I109" s="3">
        <f>(((B109/B108)-(C109/C108))*H108)-IF(H109&lt;&gt;H108, Inputs!$B$4, 0)</f>
        <v>0</v>
      </c>
      <c r="J109" s="2">
        <f>J108*(1+I109)</f>
        <v>0</v>
      </c>
      <c r="K109" s="3">
        <f>(B109-B108)/B108</f>
        <v>0</v>
      </c>
      <c r="L109" s="2">
        <f>MAX(J$2:J109)</f>
        <v>0</v>
      </c>
      <c r="M109" s="3">
        <f>(J109-L109)/L109</f>
        <v>0</v>
      </c>
    </row>
    <row r="110" spans="1:13">
      <c r="A110" t="s">
        <v>133</v>
      </c>
      <c r="B110" s="2">
        <v>35.1988</v>
      </c>
      <c r="C110" s="2">
        <v>216.5590486</v>
      </c>
      <c r="D110" s="2">
        <f>B110/C110</f>
        <v>0</v>
      </c>
      <c r="E110" s="2">
        <f>(D110*(2/(Inputs!$B$1+1)))+(E109*(1-(2/(Inputs!$B$1+1))))</f>
        <v>0</v>
      </c>
      <c r="F110" s="2">
        <f>STDEV.S(OFFSET(D110, -(MIN(Inputs!$B$1, ROW()-1)-1), 0, MIN(Inputs!$B$1, ROW()-1), 1))</f>
        <v>0</v>
      </c>
      <c r="G110" s="2">
        <f>IF(F110=0, 0, (D110-E110)/F110)</f>
        <v>0</v>
      </c>
      <c r="H110">
        <f>IF(H109=0, IF(G110&gt;Inputs!$B$2, -1, IF(G110&lt;-Inputs!$B$2, 1, 0)), IF(AND(H109=1, G110&gt;-Inputs!$B$3), 0, IF(AND(H109=-1, G110&lt;Inputs!$B$3), 0, H109)))</f>
        <v>0</v>
      </c>
      <c r="I110" s="3">
        <f>(((B110/B109)-(C110/C109))*H109)-IF(H110&lt;&gt;H109, Inputs!$B$4, 0)</f>
        <v>0</v>
      </c>
      <c r="J110" s="2">
        <f>J109*(1+I110)</f>
        <v>0</v>
      </c>
      <c r="K110" s="3">
        <f>(B110-B109)/B109</f>
        <v>0</v>
      </c>
      <c r="L110" s="2">
        <f>MAX(J$2:J110)</f>
        <v>0</v>
      </c>
      <c r="M110" s="3">
        <f>(J110-L110)/L110</f>
        <v>0</v>
      </c>
    </row>
    <row r="111" spans="1:13">
      <c r="A111" t="s">
        <v>134</v>
      </c>
      <c r="B111" s="2">
        <v>34.9679</v>
      </c>
      <c r="C111" s="2">
        <v>210.378266</v>
      </c>
      <c r="D111" s="2">
        <f>B111/C111</f>
        <v>0</v>
      </c>
      <c r="E111" s="2">
        <f>(D111*(2/(Inputs!$B$1+1)))+(E110*(1-(2/(Inputs!$B$1+1))))</f>
        <v>0</v>
      </c>
      <c r="F111" s="2">
        <f>STDEV.S(OFFSET(D111, -(MIN(Inputs!$B$1, ROW()-1)-1), 0, MIN(Inputs!$B$1, ROW()-1), 1))</f>
        <v>0</v>
      </c>
      <c r="G111" s="2">
        <f>IF(F111=0, 0, (D111-E111)/F111)</f>
        <v>0</v>
      </c>
      <c r="H111">
        <f>IF(H110=0, IF(G111&gt;Inputs!$B$2, -1, IF(G111&lt;-Inputs!$B$2, 1, 0)), IF(AND(H110=1, G111&gt;-Inputs!$B$3), 0, IF(AND(H110=-1, G111&lt;Inputs!$B$3), 0, H110)))</f>
        <v>0</v>
      </c>
      <c r="I111" s="3">
        <f>(((B111/B110)-(C111/C110))*H110)-IF(H111&lt;&gt;H110, Inputs!$B$4, 0)</f>
        <v>0</v>
      </c>
      <c r="J111" s="2">
        <f>J110*(1+I111)</f>
        <v>0</v>
      </c>
      <c r="K111" s="3">
        <f>(B111-B110)/B110</f>
        <v>0</v>
      </c>
      <c r="L111" s="2">
        <f>MAX(J$2:J111)</f>
        <v>0</v>
      </c>
      <c r="M111" s="3">
        <f>(J111-L111)/L111</f>
        <v>0</v>
      </c>
    </row>
    <row r="112" spans="1:13">
      <c r="A112" t="s">
        <v>135</v>
      </c>
      <c r="B112" s="2">
        <v>37.9801</v>
      </c>
      <c r="C112" s="2">
        <v>231.7135728</v>
      </c>
      <c r="D112" s="2">
        <f>B112/C112</f>
        <v>0</v>
      </c>
      <c r="E112" s="2">
        <f>(D112*(2/(Inputs!$B$1+1)))+(E111*(1-(2/(Inputs!$B$1+1))))</f>
        <v>0</v>
      </c>
      <c r="F112" s="2">
        <f>STDEV.S(OFFSET(D112, -(MIN(Inputs!$B$1, ROW()-1)-1), 0, MIN(Inputs!$B$1, ROW()-1), 1))</f>
        <v>0</v>
      </c>
      <c r="G112" s="2">
        <f>IF(F112=0, 0, (D112-E112)/F112)</f>
        <v>0</v>
      </c>
      <c r="H112">
        <f>IF(H111=0, IF(G112&gt;Inputs!$B$2, -1, IF(G112&lt;-Inputs!$B$2, 1, 0)), IF(AND(H111=1, G112&gt;-Inputs!$B$3), 0, IF(AND(H111=-1, G112&lt;Inputs!$B$3), 0, H111)))</f>
        <v>0</v>
      </c>
      <c r="I112" s="3">
        <f>(((B112/B111)-(C112/C111))*H111)-IF(H112&lt;&gt;H111, Inputs!$B$4, 0)</f>
        <v>0</v>
      </c>
      <c r="J112" s="2">
        <f>J111*(1+I112)</f>
        <v>0</v>
      </c>
      <c r="K112" s="3">
        <f>(B112-B111)/B111</f>
        <v>0</v>
      </c>
      <c r="L112" s="2">
        <f>MAX(J$2:J112)</f>
        <v>0</v>
      </c>
      <c r="M112" s="3">
        <f>(J112-L112)/L112</f>
        <v>0</v>
      </c>
    </row>
    <row r="113" spans="1:13">
      <c r="A113" t="s">
        <v>136</v>
      </c>
      <c r="B113" s="2">
        <v>39.6806</v>
      </c>
      <c r="C113" s="2">
        <v>241.3645752</v>
      </c>
      <c r="D113" s="2">
        <f>B113/C113</f>
        <v>0</v>
      </c>
      <c r="E113" s="2">
        <f>(D113*(2/(Inputs!$B$1+1)))+(E112*(1-(2/(Inputs!$B$1+1))))</f>
        <v>0</v>
      </c>
      <c r="F113" s="2">
        <f>STDEV.S(OFFSET(D113, -(MIN(Inputs!$B$1, ROW()-1)-1), 0, MIN(Inputs!$B$1, ROW()-1), 1))</f>
        <v>0</v>
      </c>
      <c r="G113" s="2">
        <f>IF(F113=0, 0, (D113-E113)/F113)</f>
        <v>0</v>
      </c>
      <c r="H113">
        <f>IF(H112=0, IF(G113&gt;Inputs!$B$2, -1, IF(G113&lt;-Inputs!$B$2, 1, 0)), IF(AND(H112=1, G113&gt;-Inputs!$B$3), 0, IF(AND(H112=-1, G113&lt;Inputs!$B$3), 0, H112)))</f>
        <v>0</v>
      </c>
      <c r="I113" s="3">
        <f>(((B113/B112)-(C113/C112))*H112)-IF(H113&lt;&gt;H112, Inputs!$B$4, 0)</f>
        <v>0</v>
      </c>
      <c r="J113" s="2">
        <f>J112*(1+I113)</f>
        <v>0</v>
      </c>
      <c r="K113" s="3">
        <f>(B113-B112)/B112</f>
        <v>0</v>
      </c>
      <c r="L113" s="2">
        <f>MAX(J$2:J113)</f>
        <v>0</v>
      </c>
      <c r="M113" s="3">
        <f>(J113-L113)/L113</f>
        <v>0</v>
      </c>
    </row>
    <row r="114" spans="1:13">
      <c r="A114" t="s">
        <v>137</v>
      </c>
      <c r="B114" s="2">
        <v>40.7002</v>
      </c>
      <c r="C114" s="2">
        <v>247.4045672</v>
      </c>
      <c r="D114" s="2">
        <f>B114/C114</f>
        <v>0</v>
      </c>
      <c r="E114" s="2">
        <f>(D114*(2/(Inputs!$B$1+1)))+(E113*(1-(2/(Inputs!$B$1+1))))</f>
        <v>0</v>
      </c>
      <c r="F114" s="2">
        <f>STDEV.S(OFFSET(D114, -(MIN(Inputs!$B$1, ROW()-1)-1), 0, MIN(Inputs!$B$1, ROW()-1), 1))</f>
        <v>0</v>
      </c>
      <c r="G114" s="2">
        <f>IF(F114=0, 0, (D114-E114)/F114)</f>
        <v>0</v>
      </c>
      <c r="H114">
        <f>IF(H113=0, IF(G114&gt;Inputs!$B$2, -1, IF(G114&lt;-Inputs!$B$2, 1, 0)), IF(AND(H113=1, G114&gt;-Inputs!$B$3), 0, IF(AND(H113=-1, G114&lt;Inputs!$B$3), 0, H113)))</f>
        <v>0</v>
      </c>
      <c r="I114" s="3">
        <f>(((B114/B113)-(C114/C113))*H113)-IF(H114&lt;&gt;H113, Inputs!$B$4, 0)</f>
        <v>0</v>
      </c>
      <c r="J114" s="2">
        <f>J113*(1+I114)</f>
        <v>0</v>
      </c>
      <c r="K114" s="3">
        <f>(B114-B113)/B113</f>
        <v>0</v>
      </c>
      <c r="L114" s="2">
        <f>MAX(J$2:J114)</f>
        <v>0</v>
      </c>
      <c r="M114" s="3">
        <f>(J114-L114)/L114</f>
        <v>0</v>
      </c>
    </row>
    <row r="115" spans="1:13">
      <c r="A115" t="s">
        <v>138</v>
      </c>
      <c r="B115" s="2">
        <v>41.2497</v>
      </c>
      <c r="C115" s="2">
        <v>250.785626</v>
      </c>
      <c r="D115" s="2">
        <f>B115/C115</f>
        <v>0</v>
      </c>
      <c r="E115" s="2">
        <f>(D115*(2/(Inputs!$B$1+1)))+(E114*(1-(2/(Inputs!$B$1+1))))</f>
        <v>0</v>
      </c>
      <c r="F115" s="2">
        <f>STDEV.S(OFFSET(D115, -(MIN(Inputs!$B$1, ROW()-1)-1), 0, MIN(Inputs!$B$1, ROW()-1), 1))</f>
        <v>0</v>
      </c>
      <c r="G115" s="2">
        <f>IF(F115=0, 0, (D115-E115)/F115)</f>
        <v>0</v>
      </c>
      <c r="H115">
        <f>IF(H114=0, IF(G115&gt;Inputs!$B$2, -1, IF(G115&lt;-Inputs!$B$2, 1, 0)), IF(AND(H114=1, G115&gt;-Inputs!$B$3), 0, IF(AND(H114=-1, G115&lt;Inputs!$B$3), 0, H114)))</f>
        <v>0</v>
      </c>
      <c r="I115" s="3">
        <f>(((B115/B114)-(C115/C114))*H114)-IF(H115&lt;&gt;H114, Inputs!$B$4, 0)</f>
        <v>0</v>
      </c>
      <c r="J115" s="2">
        <f>J114*(1+I115)</f>
        <v>0</v>
      </c>
      <c r="K115" s="3">
        <f>(B115-B114)/B114</f>
        <v>0</v>
      </c>
      <c r="L115" s="2">
        <f>MAX(J$2:J115)</f>
        <v>0</v>
      </c>
      <c r="M115" s="3">
        <f>(J115-L115)/L115</f>
        <v>0</v>
      </c>
    </row>
    <row r="116" spans="1:13">
      <c r="A116" t="s">
        <v>139</v>
      </c>
      <c r="B116" s="2">
        <v>40.8587</v>
      </c>
      <c r="C116" s="2">
        <v>249.9801942</v>
      </c>
      <c r="D116" s="2">
        <f>B116/C116</f>
        <v>0</v>
      </c>
      <c r="E116" s="2">
        <f>(D116*(2/(Inputs!$B$1+1)))+(E115*(1-(2/(Inputs!$B$1+1))))</f>
        <v>0</v>
      </c>
      <c r="F116" s="2">
        <f>STDEV.S(OFFSET(D116, -(MIN(Inputs!$B$1, ROW()-1)-1), 0, MIN(Inputs!$B$1, ROW()-1), 1))</f>
        <v>0</v>
      </c>
      <c r="G116" s="2">
        <f>IF(F116=0, 0, (D116-E116)/F116)</f>
        <v>0</v>
      </c>
      <c r="H116">
        <f>IF(H115=0, IF(G116&gt;Inputs!$B$2, -1, IF(G116&lt;-Inputs!$B$2, 1, 0)), IF(AND(H115=1, G116&gt;-Inputs!$B$3), 0, IF(AND(H115=-1, G116&lt;Inputs!$B$3), 0, H115)))</f>
        <v>0</v>
      </c>
      <c r="I116" s="3">
        <f>(((B116/B115)-(C116/C115))*H115)-IF(H116&lt;&gt;H115, Inputs!$B$4, 0)</f>
        <v>0</v>
      </c>
      <c r="J116" s="2">
        <f>J115*(1+I116)</f>
        <v>0</v>
      </c>
      <c r="K116" s="3">
        <f>(B116-B115)/B115</f>
        <v>0</v>
      </c>
      <c r="L116" s="2">
        <f>MAX(J$2:J116)</f>
        <v>0</v>
      </c>
      <c r="M116" s="3">
        <f>(J116-L116)/L116</f>
        <v>0</v>
      </c>
    </row>
    <row r="117" spans="1:13">
      <c r="A117" t="s">
        <v>140</v>
      </c>
      <c r="B117" s="2">
        <v>40.522</v>
      </c>
      <c r="C117" s="2">
        <v>246.5517648</v>
      </c>
      <c r="D117" s="2">
        <f>B117/C117</f>
        <v>0</v>
      </c>
      <c r="E117" s="2">
        <f>(D117*(2/(Inputs!$B$1+1)))+(E116*(1-(2/(Inputs!$B$1+1))))</f>
        <v>0</v>
      </c>
      <c r="F117" s="2">
        <f>STDEV.S(OFFSET(D117, -(MIN(Inputs!$B$1, ROW()-1)-1), 0, MIN(Inputs!$B$1, ROW()-1), 1))</f>
        <v>0</v>
      </c>
      <c r="G117" s="2">
        <f>IF(F117=0, 0, (D117-E117)/F117)</f>
        <v>0</v>
      </c>
      <c r="H117">
        <f>IF(H116=0, IF(G117&gt;Inputs!$B$2, -1, IF(G117&lt;-Inputs!$B$2, 1, 0)), IF(AND(H116=1, G117&gt;-Inputs!$B$3), 0, IF(AND(H116=-1, G117&lt;Inputs!$B$3), 0, H116)))</f>
        <v>0</v>
      </c>
      <c r="I117" s="3">
        <f>(((B117/B116)-(C117/C116))*H116)-IF(H117&lt;&gt;H116, Inputs!$B$4, 0)</f>
        <v>0</v>
      </c>
      <c r="J117" s="2">
        <f>J116*(1+I117)</f>
        <v>0</v>
      </c>
      <c r="K117" s="3">
        <f>(B117-B116)/B116</f>
        <v>0</v>
      </c>
      <c r="L117" s="2">
        <f>MAX(J$2:J117)</f>
        <v>0</v>
      </c>
      <c r="M117" s="3">
        <f>(J117-L117)/L117</f>
        <v>0</v>
      </c>
    </row>
    <row r="118" spans="1:13">
      <c r="A118" t="s">
        <v>141</v>
      </c>
      <c r="B118" s="2">
        <v>40.3885</v>
      </c>
      <c r="C118" s="2">
        <v>244.8964232</v>
      </c>
      <c r="D118" s="2">
        <f>B118/C118</f>
        <v>0</v>
      </c>
      <c r="E118" s="2">
        <f>(D118*(2/(Inputs!$B$1+1)))+(E117*(1-(2/(Inputs!$B$1+1))))</f>
        <v>0</v>
      </c>
      <c r="F118" s="2">
        <f>STDEV.S(OFFSET(D118, -(MIN(Inputs!$B$1, ROW()-1)-1), 0, MIN(Inputs!$B$1, ROW()-1), 1))</f>
        <v>0</v>
      </c>
      <c r="G118" s="2">
        <f>IF(F118=0, 0, (D118-E118)/F118)</f>
        <v>0</v>
      </c>
      <c r="H118">
        <f>IF(H117=0, IF(G118&gt;Inputs!$B$2, -1, IF(G118&lt;-Inputs!$B$2, 1, 0)), IF(AND(H117=1, G118&gt;-Inputs!$B$3), 0, IF(AND(H117=-1, G118&lt;Inputs!$B$3), 0, H117)))</f>
        <v>0</v>
      </c>
      <c r="I118" s="3">
        <f>(((B118/B117)-(C118/C117))*H117)-IF(H118&lt;&gt;H117, Inputs!$B$4, 0)</f>
        <v>0</v>
      </c>
      <c r="J118" s="2">
        <f>J117*(1+I118)</f>
        <v>0</v>
      </c>
      <c r="K118" s="3">
        <f>(B118-B117)/B117</f>
        <v>0</v>
      </c>
      <c r="L118" s="2">
        <f>MAX(J$2:J118)</f>
        <v>0</v>
      </c>
      <c r="M118" s="3">
        <f>(J118-L118)/L118</f>
        <v>0</v>
      </c>
    </row>
    <row r="119" spans="1:13">
      <c r="A119" t="s">
        <v>142</v>
      </c>
      <c r="B119" s="2">
        <v>38.2499</v>
      </c>
      <c r="C119" s="2">
        <v>234.4581568</v>
      </c>
      <c r="D119" s="2">
        <f>B119/C119</f>
        <v>0</v>
      </c>
      <c r="E119" s="2">
        <f>(D119*(2/(Inputs!$B$1+1)))+(E118*(1-(2/(Inputs!$B$1+1))))</f>
        <v>0</v>
      </c>
      <c r="F119" s="2">
        <f>STDEV.S(OFFSET(D119, -(MIN(Inputs!$B$1, ROW()-1)-1), 0, MIN(Inputs!$B$1, ROW()-1), 1))</f>
        <v>0</v>
      </c>
      <c r="G119" s="2">
        <f>IF(F119=0, 0, (D119-E119)/F119)</f>
        <v>0</v>
      </c>
      <c r="H119">
        <f>IF(H118=0, IF(G119&gt;Inputs!$B$2, -1, IF(G119&lt;-Inputs!$B$2, 1, 0)), IF(AND(H118=1, G119&gt;-Inputs!$B$3), 0, IF(AND(H118=-1, G119&lt;Inputs!$B$3), 0, H118)))</f>
        <v>0</v>
      </c>
      <c r="I119" s="3">
        <f>(((B119/B118)-(C119/C118))*H118)-IF(H119&lt;&gt;H118, Inputs!$B$4, 0)</f>
        <v>0</v>
      </c>
      <c r="J119" s="2">
        <f>J118*(1+I119)</f>
        <v>0</v>
      </c>
      <c r="K119" s="3">
        <f>(B119-B118)/B118</f>
        <v>0</v>
      </c>
      <c r="L119" s="2">
        <f>MAX(J$2:J119)</f>
        <v>0</v>
      </c>
      <c r="M119" s="3">
        <f>(J119-L119)/L119</f>
        <v>0</v>
      </c>
    </row>
    <row r="120" spans="1:13">
      <c r="A120" t="s">
        <v>143</v>
      </c>
      <c r="B120" s="2">
        <v>36.9036</v>
      </c>
      <c r="C120" s="2">
        <v>226.2820059</v>
      </c>
      <c r="D120" s="2">
        <f>B120/C120</f>
        <v>0</v>
      </c>
      <c r="E120" s="2">
        <f>(D120*(2/(Inputs!$B$1+1)))+(E119*(1-(2/(Inputs!$B$1+1))))</f>
        <v>0</v>
      </c>
      <c r="F120" s="2">
        <f>STDEV.S(OFFSET(D120, -(MIN(Inputs!$B$1, ROW()-1)-1), 0, MIN(Inputs!$B$1, ROW()-1), 1))</f>
        <v>0</v>
      </c>
      <c r="G120" s="2">
        <f>IF(F120=0, 0, (D120-E120)/F120)</f>
        <v>0</v>
      </c>
      <c r="H120">
        <f>IF(H119=0, IF(G120&gt;Inputs!$B$2, -1, IF(G120&lt;-Inputs!$B$2, 1, 0)), IF(AND(H119=1, G120&gt;-Inputs!$B$3), 0, IF(AND(H119=-1, G120&lt;Inputs!$B$3), 0, H119)))</f>
        <v>0</v>
      </c>
      <c r="I120" s="3">
        <f>(((B120/B119)-(C120/C119))*H119)-IF(H120&lt;&gt;H119, Inputs!$B$4, 0)</f>
        <v>0</v>
      </c>
      <c r="J120" s="2">
        <f>J119*(1+I120)</f>
        <v>0</v>
      </c>
      <c r="K120" s="3">
        <f>(B120-B119)/B119</f>
        <v>0</v>
      </c>
      <c r="L120" s="2">
        <f>MAX(J$2:J120)</f>
        <v>0</v>
      </c>
      <c r="M120" s="3">
        <f>(J120-L120)/L120</f>
        <v>0</v>
      </c>
    </row>
    <row r="121" spans="1:13">
      <c r="A121" t="s">
        <v>144</v>
      </c>
      <c r="B121" s="2">
        <v>38.1905</v>
      </c>
      <c r="C121" s="2">
        <v>231.93969</v>
      </c>
      <c r="D121" s="2">
        <f>B121/C121</f>
        <v>0</v>
      </c>
      <c r="E121" s="2">
        <f>(D121*(2/(Inputs!$B$1+1)))+(E120*(1-(2/(Inputs!$B$1+1))))</f>
        <v>0</v>
      </c>
      <c r="F121" s="2">
        <f>STDEV.S(OFFSET(D121, -(MIN(Inputs!$B$1, ROW()-1)-1), 0, MIN(Inputs!$B$1, ROW()-1), 1))</f>
        <v>0</v>
      </c>
      <c r="G121" s="2">
        <f>IF(F121=0, 0, (D121-E121)/F121)</f>
        <v>0</v>
      </c>
      <c r="H121">
        <f>IF(H120=0, IF(G121&gt;Inputs!$B$2, -1, IF(G121&lt;-Inputs!$B$2, 1, 0)), IF(AND(H120=1, G121&gt;-Inputs!$B$3), 0, IF(AND(H120=-1, G121&lt;Inputs!$B$3), 0, H120)))</f>
        <v>0</v>
      </c>
      <c r="I121" s="3">
        <f>(((B121/B120)-(C121/C120))*H120)-IF(H121&lt;&gt;H120, Inputs!$B$4, 0)</f>
        <v>0</v>
      </c>
      <c r="J121" s="2">
        <f>J120*(1+I121)</f>
        <v>0</v>
      </c>
      <c r="K121" s="3">
        <f>(B121-B120)/B120</f>
        <v>0</v>
      </c>
      <c r="L121" s="2">
        <f>MAX(J$2:J121)</f>
        <v>0</v>
      </c>
      <c r="M121" s="3">
        <f>(J121-L121)/L121</f>
        <v>0</v>
      </c>
    </row>
    <row r="122" spans="1:13">
      <c r="A122" t="s">
        <v>145</v>
      </c>
      <c r="B122" s="2">
        <v>38.8835</v>
      </c>
      <c r="C122" s="2">
        <v>230.0400052</v>
      </c>
      <c r="D122" s="2">
        <f>B122/C122</f>
        <v>0</v>
      </c>
      <c r="E122" s="2">
        <f>(D122*(2/(Inputs!$B$1+1)))+(E121*(1-(2/(Inputs!$B$1+1))))</f>
        <v>0</v>
      </c>
      <c r="F122" s="2">
        <f>STDEV.S(OFFSET(D122, -(MIN(Inputs!$B$1, ROW()-1)-1), 0, MIN(Inputs!$B$1, ROW()-1), 1))</f>
        <v>0</v>
      </c>
      <c r="G122" s="2">
        <f>IF(F122=0, 0, (D122-E122)/F122)</f>
        <v>0</v>
      </c>
      <c r="H122">
        <f>IF(H121=0, IF(G122&gt;Inputs!$B$2, -1, IF(G122&lt;-Inputs!$B$2, 1, 0)), IF(AND(H121=1, G122&gt;-Inputs!$B$3), 0, IF(AND(H121=-1, G122&lt;Inputs!$B$3), 0, H121)))</f>
        <v>0</v>
      </c>
      <c r="I122" s="3">
        <f>(((B122/B121)-(C122/C121))*H121)-IF(H122&lt;&gt;H121, Inputs!$B$4, 0)</f>
        <v>0</v>
      </c>
      <c r="J122" s="2">
        <f>J121*(1+I122)</f>
        <v>0</v>
      </c>
      <c r="K122" s="3">
        <f>(B122-B121)/B121</f>
        <v>0</v>
      </c>
      <c r="L122" s="2">
        <f>MAX(J$2:J122)</f>
        <v>0</v>
      </c>
      <c r="M122" s="3">
        <f>(J122-L122)/L122</f>
        <v>0</v>
      </c>
    </row>
    <row r="123" spans="1:13">
      <c r="A123" t="s">
        <v>146</v>
      </c>
      <c r="B123" s="2">
        <v>39.6806</v>
      </c>
      <c r="C123" s="2">
        <v>242.1408</v>
      </c>
      <c r="D123" s="2">
        <f>B123/C123</f>
        <v>0</v>
      </c>
      <c r="E123" s="2">
        <f>(D123*(2/(Inputs!$B$1+1)))+(E122*(1-(2/(Inputs!$B$1+1))))</f>
        <v>0</v>
      </c>
      <c r="F123" s="2">
        <f>STDEV.S(OFFSET(D123, -(MIN(Inputs!$B$1, ROW()-1)-1), 0, MIN(Inputs!$B$1, ROW()-1), 1))</f>
        <v>0</v>
      </c>
      <c r="G123" s="2">
        <f>IF(F123=0, 0, (D123-E123)/F123)</f>
        <v>0</v>
      </c>
      <c r="H123">
        <f>IF(H122=0, IF(G123&gt;Inputs!$B$2, -1, IF(G123&lt;-Inputs!$B$2, 1, 0)), IF(AND(H122=1, G123&gt;-Inputs!$B$3), 0, IF(AND(H122=-1, G123&lt;Inputs!$B$3), 0, H122)))</f>
        <v>0</v>
      </c>
      <c r="I123" s="3">
        <f>(((B123/B122)-(C123/C122))*H122)-IF(H123&lt;&gt;H122, Inputs!$B$4, 0)</f>
        <v>0</v>
      </c>
      <c r="J123" s="2">
        <f>J122*(1+I123)</f>
        <v>0</v>
      </c>
      <c r="K123" s="3">
        <f>(B123-B122)/B122</f>
        <v>0</v>
      </c>
      <c r="L123" s="2">
        <f>MAX(J$2:J123)</f>
        <v>0</v>
      </c>
      <c r="M123" s="3">
        <f>(J123-L123)/L123</f>
        <v>0</v>
      </c>
    </row>
    <row r="124" spans="1:13">
      <c r="A124" t="s">
        <v>147</v>
      </c>
      <c r="B124" s="2">
        <v>39.2498</v>
      </c>
      <c r="C124" s="2">
        <v>238.059008</v>
      </c>
      <c r="D124" s="2">
        <f>B124/C124</f>
        <v>0</v>
      </c>
      <c r="E124" s="2">
        <f>(D124*(2/(Inputs!$B$1+1)))+(E123*(1-(2/(Inputs!$B$1+1))))</f>
        <v>0</v>
      </c>
      <c r="F124" s="2">
        <f>STDEV.S(OFFSET(D124, -(MIN(Inputs!$B$1, ROW()-1)-1), 0, MIN(Inputs!$B$1, ROW()-1), 1))</f>
        <v>0</v>
      </c>
      <c r="G124" s="2">
        <f>IF(F124=0, 0, (D124-E124)/F124)</f>
        <v>0</v>
      </c>
      <c r="H124">
        <f>IF(H123=0, IF(G124&gt;Inputs!$B$2, -1, IF(G124&lt;-Inputs!$B$2, 1, 0)), IF(AND(H123=1, G124&gt;-Inputs!$B$3), 0, IF(AND(H123=-1, G124&lt;Inputs!$B$3), 0, H123)))</f>
        <v>0</v>
      </c>
      <c r="I124" s="3">
        <f>(((B124/B123)-(C124/C123))*H123)-IF(H124&lt;&gt;H123, Inputs!$B$4, 0)</f>
        <v>0</v>
      </c>
      <c r="J124" s="2">
        <f>J123*(1+I124)</f>
        <v>0</v>
      </c>
      <c r="K124" s="3">
        <f>(B124-B123)/B123</f>
        <v>0</v>
      </c>
      <c r="L124" s="2">
        <f>MAX(J$2:J124)</f>
        <v>0</v>
      </c>
      <c r="M124" s="3">
        <f>(J124-L124)/L124</f>
        <v>0</v>
      </c>
    </row>
    <row r="125" spans="1:13">
      <c r="A125" t="s">
        <v>148</v>
      </c>
      <c r="B125" s="2">
        <v>39.2498</v>
      </c>
      <c r="C125" s="2">
        <v>235.652847</v>
      </c>
      <c r="D125" s="2">
        <f>B125/C125</f>
        <v>0</v>
      </c>
      <c r="E125" s="2">
        <f>(D125*(2/(Inputs!$B$1+1)))+(E124*(1-(2/(Inputs!$B$1+1))))</f>
        <v>0</v>
      </c>
      <c r="F125" s="2">
        <f>STDEV.S(OFFSET(D125, -(MIN(Inputs!$B$1, ROW()-1)-1), 0, MIN(Inputs!$B$1, ROW()-1), 1))</f>
        <v>0</v>
      </c>
      <c r="G125" s="2">
        <f>IF(F125=0, 0, (D125-E125)/F125)</f>
        <v>0</v>
      </c>
      <c r="H125">
        <f>IF(H124=0, IF(G125&gt;Inputs!$B$2, -1, IF(G125&lt;-Inputs!$B$2, 1, 0)), IF(AND(H124=1, G125&gt;-Inputs!$B$3), 0, IF(AND(H124=-1, G125&lt;Inputs!$B$3), 0, H124)))</f>
        <v>0</v>
      </c>
      <c r="I125" s="3">
        <f>(((B125/B124)-(C125/C124))*H124)-IF(H125&lt;&gt;H124, Inputs!$B$4, 0)</f>
        <v>0</v>
      </c>
      <c r="J125" s="2">
        <f>J124*(1+I125)</f>
        <v>0</v>
      </c>
      <c r="K125" s="3">
        <f>(B125-B124)/B124</f>
        <v>0</v>
      </c>
      <c r="L125" s="2">
        <f>MAX(J$2:J125)</f>
        <v>0</v>
      </c>
      <c r="M125" s="3">
        <f>(J125-L125)/L125</f>
        <v>0</v>
      </c>
    </row>
    <row r="126" spans="1:13">
      <c r="A126" t="s">
        <v>149</v>
      </c>
      <c r="B126" s="2">
        <v>39.8389</v>
      </c>
      <c r="C126" s="2">
        <v>245.4678518</v>
      </c>
      <c r="D126" s="2">
        <f>B126/C126</f>
        <v>0</v>
      </c>
      <c r="E126" s="2">
        <f>(D126*(2/(Inputs!$B$1+1)))+(E125*(1-(2/(Inputs!$B$1+1))))</f>
        <v>0</v>
      </c>
      <c r="F126" s="2">
        <f>STDEV.S(OFFSET(D126, -(MIN(Inputs!$B$1, ROW()-1)-1), 0, MIN(Inputs!$B$1, ROW()-1), 1))</f>
        <v>0</v>
      </c>
      <c r="G126" s="2">
        <f>IF(F126=0, 0, (D126-E126)/F126)</f>
        <v>0</v>
      </c>
      <c r="H126">
        <f>IF(H125=0, IF(G126&gt;Inputs!$B$2, -1, IF(G126&lt;-Inputs!$B$2, 1, 0)), IF(AND(H125=1, G126&gt;-Inputs!$B$3), 0, IF(AND(H125=-1, G126&lt;Inputs!$B$3), 0, H125)))</f>
        <v>0</v>
      </c>
      <c r="I126" s="3">
        <f>(((B126/B125)-(C126/C125))*H125)-IF(H126&lt;&gt;H125, Inputs!$B$4, 0)</f>
        <v>0</v>
      </c>
      <c r="J126" s="2">
        <f>J125*(1+I126)</f>
        <v>0</v>
      </c>
      <c r="K126" s="3">
        <f>(B126-B125)/B125</f>
        <v>0</v>
      </c>
      <c r="L126" s="2">
        <f>MAX(J$2:J126)</f>
        <v>0</v>
      </c>
      <c r="M126" s="3">
        <f>(J126-L126)/L126</f>
        <v>0</v>
      </c>
    </row>
    <row r="127" spans="1:13">
      <c r="A127" t="s">
        <v>150</v>
      </c>
      <c r="B127" s="2">
        <v>40.4924</v>
      </c>
      <c r="C127" s="2">
        <v>245.540724</v>
      </c>
      <c r="D127" s="2">
        <f>B127/C127</f>
        <v>0</v>
      </c>
      <c r="E127" s="2">
        <f>(D127*(2/(Inputs!$B$1+1)))+(E126*(1-(2/(Inputs!$B$1+1))))</f>
        <v>0</v>
      </c>
      <c r="F127" s="2">
        <f>STDEV.S(OFFSET(D127, -(MIN(Inputs!$B$1, ROW()-1)-1), 0, MIN(Inputs!$B$1, ROW()-1), 1))</f>
        <v>0</v>
      </c>
      <c r="G127" s="2">
        <f>IF(F127=0, 0, (D127-E127)/F127)</f>
        <v>0</v>
      </c>
      <c r="H127">
        <f>IF(H126=0, IF(G127&gt;Inputs!$B$2, -1, IF(G127&lt;-Inputs!$B$2, 1, 0)), IF(AND(H126=1, G127&gt;-Inputs!$B$3), 0, IF(AND(H126=-1, G127&lt;Inputs!$B$3), 0, H126)))</f>
        <v>0</v>
      </c>
      <c r="I127" s="3">
        <f>(((B127/B126)-(C127/C126))*H126)-IF(H127&lt;&gt;H126, Inputs!$B$4, 0)</f>
        <v>0</v>
      </c>
      <c r="J127" s="2">
        <f>J126*(1+I127)</f>
        <v>0</v>
      </c>
      <c r="K127" s="3">
        <f>(B127-B126)/B126</f>
        <v>0</v>
      </c>
      <c r="L127" s="2">
        <f>MAX(J$2:J127)</f>
        <v>0</v>
      </c>
      <c r="M127" s="3">
        <f>(J127-L127)/L127</f>
        <v>0</v>
      </c>
    </row>
    <row r="128" spans="1:13">
      <c r="A128" t="s">
        <v>151</v>
      </c>
      <c r="B128" s="2">
        <v>42.012</v>
      </c>
      <c r="C128" s="2">
        <v>255.969441</v>
      </c>
      <c r="D128" s="2">
        <f>B128/C128</f>
        <v>0</v>
      </c>
      <c r="E128" s="2">
        <f>(D128*(2/(Inputs!$B$1+1)))+(E127*(1-(2/(Inputs!$B$1+1))))</f>
        <v>0</v>
      </c>
      <c r="F128" s="2">
        <f>STDEV.S(OFFSET(D128, -(MIN(Inputs!$B$1, ROW()-1)-1), 0, MIN(Inputs!$B$1, ROW()-1), 1))</f>
        <v>0</v>
      </c>
      <c r="G128" s="2">
        <f>IF(F128=0, 0, (D128-E128)/F128)</f>
        <v>0</v>
      </c>
      <c r="H128">
        <f>IF(H127=0, IF(G128&gt;Inputs!$B$2, -1, IF(G128&lt;-Inputs!$B$2, 1, 0)), IF(AND(H127=1, G128&gt;-Inputs!$B$3), 0, IF(AND(H127=-1, G128&lt;Inputs!$B$3), 0, H127)))</f>
        <v>0</v>
      </c>
      <c r="I128" s="3">
        <f>(((B128/B127)-(C128/C127))*H127)-IF(H128&lt;&gt;H127, Inputs!$B$4, 0)</f>
        <v>0</v>
      </c>
      <c r="J128" s="2">
        <f>J127*(1+I128)</f>
        <v>0</v>
      </c>
      <c r="K128" s="3">
        <f>(B128-B127)/B127</f>
        <v>0</v>
      </c>
      <c r="L128" s="2">
        <f>MAX(J$2:J128)</f>
        <v>0</v>
      </c>
      <c r="M128" s="3">
        <f>(J128-L128)/L128</f>
        <v>0</v>
      </c>
    </row>
    <row r="129" spans="1:13">
      <c r="A129" t="s">
        <v>152</v>
      </c>
      <c r="B129" s="2">
        <v>42.6951</v>
      </c>
      <c r="C129" s="2">
        <v>259.371612</v>
      </c>
      <c r="D129" s="2">
        <f>B129/C129</f>
        <v>0</v>
      </c>
      <c r="E129" s="2">
        <f>(D129*(2/(Inputs!$B$1+1)))+(E128*(1-(2/(Inputs!$B$1+1))))</f>
        <v>0</v>
      </c>
      <c r="F129" s="2">
        <f>STDEV.S(OFFSET(D129, -(MIN(Inputs!$B$1, ROW()-1)-1), 0, MIN(Inputs!$B$1, ROW()-1), 1))</f>
        <v>0</v>
      </c>
      <c r="G129" s="2">
        <f>IF(F129=0, 0, (D129-E129)/F129)</f>
        <v>0</v>
      </c>
      <c r="H129">
        <f>IF(H128=0, IF(G129&gt;Inputs!$B$2, -1, IF(G129&lt;-Inputs!$B$2, 1, 0)), IF(AND(H128=1, G129&gt;-Inputs!$B$3), 0, IF(AND(H128=-1, G129&lt;Inputs!$B$3), 0, H128)))</f>
        <v>0</v>
      </c>
      <c r="I129" s="3">
        <f>(((B129/B128)-(C129/C128))*H128)-IF(H129&lt;&gt;H128, Inputs!$B$4, 0)</f>
        <v>0</v>
      </c>
      <c r="J129" s="2">
        <f>J128*(1+I129)</f>
        <v>0</v>
      </c>
      <c r="K129" s="3">
        <f>(B129-B128)/B128</f>
        <v>0</v>
      </c>
      <c r="L129" s="2">
        <f>MAX(J$2:J129)</f>
        <v>0</v>
      </c>
      <c r="M129" s="3">
        <f>(J129-L129)/L129</f>
        <v>0</v>
      </c>
    </row>
    <row r="130" spans="1:13">
      <c r="A130" t="s">
        <v>153</v>
      </c>
      <c r="B130" s="2">
        <v>42.4625</v>
      </c>
      <c r="C130" s="2">
        <v>258.659011</v>
      </c>
      <c r="D130" s="2">
        <f>B130/C130</f>
        <v>0</v>
      </c>
      <c r="E130" s="2">
        <f>(D130*(2/(Inputs!$B$1+1)))+(E129*(1-(2/(Inputs!$B$1+1))))</f>
        <v>0</v>
      </c>
      <c r="F130" s="2">
        <f>STDEV.S(OFFSET(D130, -(MIN(Inputs!$B$1, ROW()-1)-1), 0, MIN(Inputs!$B$1, ROW()-1), 1))</f>
        <v>0</v>
      </c>
      <c r="G130" s="2">
        <f>IF(F130=0, 0, (D130-E130)/F130)</f>
        <v>0</v>
      </c>
      <c r="H130">
        <f>IF(H129=0, IF(G130&gt;Inputs!$B$2, -1, IF(G130&lt;-Inputs!$B$2, 1, 0)), IF(AND(H129=1, G130&gt;-Inputs!$B$3), 0, IF(AND(H129=-1, G130&lt;Inputs!$B$3), 0, H129)))</f>
        <v>0</v>
      </c>
      <c r="I130" s="3">
        <f>(((B130/B129)-(C130/C129))*H129)-IF(H130&lt;&gt;H129, Inputs!$B$4, 0)</f>
        <v>0</v>
      </c>
      <c r="J130" s="2">
        <f>J129*(1+I130)</f>
        <v>0</v>
      </c>
      <c r="K130" s="3">
        <f>(B130-B129)/B129</f>
        <v>0</v>
      </c>
      <c r="L130" s="2">
        <f>MAX(J$2:J130)</f>
        <v>0</v>
      </c>
      <c r="M130" s="3">
        <f>(J130-L130)/L130</f>
        <v>0</v>
      </c>
    </row>
    <row r="131" spans="1:13">
      <c r="A131" t="s">
        <v>154</v>
      </c>
      <c r="B131" s="2">
        <v>43.1902</v>
      </c>
      <c r="C131" s="2">
        <v>263.441556</v>
      </c>
      <c r="D131" s="2">
        <f>B131/C131</f>
        <v>0</v>
      </c>
      <c r="E131" s="2">
        <f>(D131*(2/(Inputs!$B$1+1)))+(E130*(1-(2/(Inputs!$B$1+1))))</f>
        <v>0</v>
      </c>
      <c r="F131" s="2">
        <f>STDEV.S(OFFSET(D131, -(MIN(Inputs!$B$1, ROW()-1)-1), 0, MIN(Inputs!$B$1, ROW()-1), 1))</f>
        <v>0</v>
      </c>
      <c r="G131" s="2">
        <f>IF(F131=0, 0, (D131-E131)/F131)</f>
        <v>0</v>
      </c>
      <c r="H131">
        <f>IF(H130=0, IF(G131&gt;Inputs!$B$2, -1, IF(G131&lt;-Inputs!$B$2, 1, 0)), IF(AND(H130=1, G131&gt;-Inputs!$B$3), 0, IF(AND(H130=-1, G131&lt;Inputs!$B$3), 0, H130)))</f>
        <v>0</v>
      </c>
      <c r="I131" s="3">
        <f>(((B131/B130)-(C131/C130))*H130)-IF(H131&lt;&gt;H130, Inputs!$B$4, 0)</f>
        <v>0</v>
      </c>
      <c r="J131" s="2">
        <f>J130*(1+I131)</f>
        <v>0</v>
      </c>
      <c r="K131" s="3">
        <f>(B131-B130)/B130</f>
        <v>0</v>
      </c>
      <c r="L131" s="2">
        <f>MAX(J$2:J131)</f>
        <v>0</v>
      </c>
      <c r="M131" s="3">
        <f>(J131-L131)/L131</f>
        <v>0</v>
      </c>
    </row>
    <row r="132" spans="1:13">
      <c r="A132" t="s">
        <v>155</v>
      </c>
      <c r="B132" s="2">
        <v>42.6951</v>
      </c>
      <c r="C132" s="2">
        <v>258.6346179</v>
      </c>
      <c r="D132" s="2">
        <f>B132/C132</f>
        <v>0</v>
      </c>
      <c r="E132" s="2">
        <f>(D132*(2/(Inputs!$B$1+1)))+(E131*(1-(2/(Inputs!$B$1+1))))</f>
        <v>0</v>
      </c>
      <c r="F132" s="2">
        <f>STDEV.S(OFFSET(D132, -(MIN(Inputs!$B$1, ROW()-1)-1), 0, MIN(Inputs!$B$1, ROW()-1), 1))</f>
        <v>0</v>
      </c>
      <c r="G132" s="2">
        <f>IF(F132=0, 0, (D132-E132)/F132)</f>
        <v>0</v>
      </c>
      <c r="H132">
        <f>IF(H131=0, IF(G132&gt;Inputs!$B$2, -1, IF(G132&lt;-Inputs!$B$2, 1, 0)), IF(AND(H131=1, G132&gt;-Inputs!$B$3), 0, IF(AND(H131=-1, G132&lt;Inputs!$B$3), 0, H131)))</f>
        <v>0</v>
      </c>
      <c r="I132" s="3">
        <f>(((B132/B131)-(C132/C131))*H131)-IF(H132&lt;&gt;H131, Inputs!$B$4, 0)</f>
        <v>0</v>
      </c>
      <c r="J132" s="2">
        <f>J131*(1+I132)</f>
        <v>0</v>
      </c>
      <c r="K132" s="3">
        <f>(B132-B131)/B131</f>
        <v>0</v>
      </c>
      <c r="L132" s="2">
        <f>MAX(J$2:J132)</f>
        <v>0</v>
      </c>
      <c r="M132" s="3">
        <f>(J132-L132)/L132</f>
        <v>0</v>
      </c>
    </row>
    <row r="133" spans="1:13">
      <c r="A133" t="s">
        <v>156</v>
      </c>
      <c r="B133" s="2">
        <v>43.007</v>
      </c>
      <c r="C133" s="2">
        <v>261.1715406</v>
      </c>
      <c r="D133" s="2">
        <f>B133/C133</f>
        <v>0</v>
      </c>
      <c r="E133" s="2">
        <f>(D133*(2/(Inputs!$B$1+1)))+(E132*(1-(2/(Inputs!$B$1+1))))</f>
        <v>0</v>
      </c>
      <c r="F133" s="2">
        <f>STDEV.S(OFFSET(D133, -(MIN(Inputs!$B$1, ROW()-1)-1), 0, MIN(Inputs!$B$1, ROW()-1), 1))</f>
        <v>0</v>
      </c>
      <c r="G133" s="2">
        <f>IF(F133=0, 0, (D133-E133)/F133)</f>
        <v>0</v>
      </c>
      <c r="H133">
        <f>IF(H132=0, IF(G133&gt;Inputs!$B$2, -1, IF(G133&lt;-Inputs!$B$2, 1, 0)), IF(AND(H132=1, G133&gt;-Inputs!$B$3), 0, IF(AND(H132=-1, G133&lt;Inputs!$B$3), 0, H132)))</f>
        <v>0</v>
      </c>
      <c r="I133" s="3">
        <f>(((B133/B132)-(C133/C132))*H132)-IF(H133&lt;&gt;H132, Inputs!$B$4, 0)</f>
        <v>0</v>
      </c>
      <c r="J133" s="2">
        <f>J132*(1+I133)</f>
        <v>0</v>
      </c>
      <c r="K133" s="3">
        <f>(B133-B132)/B132</f>
        <v>0</v>
      </c>
      <c r="L133" s="2">
        <f>MAX(J$2:J133)</f>
        <v>0</v>
      </c>
      <c r="M133" s="3">
        <f>(J133-L133)/L133</f>
        <v>0</v>
      </c>
    </row>
    <row r="134" spans="1:13">
      <c r="A134" t="s">
        <v>157</v>
      </c>
      <c r="B134" s="2">
        <v>44.2644</v>
      </c>
      <c r="C134" s="2">
        <v>271.6453544</v>
      </c>
      <c r="D134" s="2">
        <f>B134/C134</f>
        <v>0</v>
      </c>
      <c r="E134" s="2">
        <f>(D134*(2/(Inputs!$B$1+1)))+(E133*(1-(2/(Inputs!$B$1+1))))</f>
        <v>0</v>
      </c>
      <c r="F134" s="2">
        <f>STDEV.S(OFFSET(D134, -(MIN(Inputs!$B$1, ROW()-1)-1), 0, MIN(Inputs!$B$1, ROW()-1), 1))</f>
        <v>0</v>
      </c>
      <c r="G134" s="2">
        <f>IF(F134=0, 0, (D134-E134)/F134)</f>
        <v>0</v>
      </c>
      <c r="H134">
        <f>IF(H133=0, IF(G134&gt;Inputs!$B$2, -1, IF(G134&lt;-Inputs!$B$2, 1, 0)), IF(AND(H133=1, G134&gt;-Inputs!$B$3), 0, IF(AND(H133=-1, G134&lt;Inputs!$B$3), 0, H133)))</f>
        <v>0</v>
      </c>
      <c r="I134" s="3">
        <f>(((B134/B133)-(C134/C133))*H133)-IF(H134&lt;&gt;H133, Inputs!$B$4, 0)</f>
        <v>0</v>
      </c>
      <c r="J134" s="2">
        <f>J133*(1+I134)</f>
        <v>0</v>
      </c>
      <c r="K134" s="3">
        <f>(B134-B133)/B133</f>
        <v>0</v>
      </c>
      <c r="L134" s="2">
        <f>MAX(J$2:J134)</f>
        <v>0</v>
      </c>
      <c r="M134" s="3">
        <f>(J134-L134)/L134</f>
        <v>0</v>
      </c>
    </row>
    <row r="135" spans="1:13">
      <c r="A135" t="s">
        <v>158</v>
      </c>
      <c r="B135" s="2">
        <v>44.9078</v>
      </c>
      <c r="C135" s="2">
        <v>272.9536579</v>
      </c>
      <c r="D135" s="2">
        <f>B135/C135</f>
        <v>0</v>
      </c>
      <c r="E135" s="2">
        <f>(D135*(2/(Inputs!$B$1+1)))+(E134*(1-(2/(Inputs!$B$1+1))))</f>
        <v>0</v>
      </c>
      <c r="F135" s="2">
        <f>STDEV.S(OFFSET(D135, -(MIN(Inputs!$B$1, ROW()-1)-1), 0, MIN(Inputs!$B$1, ROW()-1), 1))</f>
        <v>0</v>
      </c>
      <c r="G135" s="2">
        <f>IF(F135=0, 0, (D135-E135)/F135)</f>
        <v>0</v>
      </c>
      <c r="H135">
        <f>IF(H134=0, IF(G135&gt;Inputs!$B$2, -1, IF(G135&lt;-Inputs!$B$2, 1, 0)), IF(AND(H134=1, G135&gt;-Inputs!$B$3), 0, IF(AND(H134=-1, G135&lt;Inputs!$B$3), 0, H134)))</f>
        <v>0</v>
      </c>
      <c r="I135" s="3">
        <f>(((B135/B134)-(C135/C134))*H134)-IF(H135&lt;&gt;H134, Inputs!$B$4, 0)</f>
        <v>0</v>
      </c>
      <c r="J135" s="2">
        <f>J134*(1+I135)</f>
        <v>0</v>
      </c>
      <c r="K135" s="3">
        <f>(B135-B134)/B134</f>
        <v>0</v>
      </c>
      <c r="L135" s="2">
        <f>MAX(J$2:J135)</f>
        <v>0</v>
      </c>
      <c r="M135" s="3">
        <f>(J135-L135)/L135</f>
        <v>0</v>
      </c>
    </row>
    <row r="136" spans="1:13">
      <c r="A136" t="s">
        <v>159</v>
      </c>
      <c r="B136" s="2">
        <v>45.7049</v>
      </c>
      <c r="C136" s="2">
        <v>278.1006436</v>
      </c>
      <c r="D136" s="2">
        <f>B136/C136</f>
        <v>0</v>
      </c>
      <c r="E136" s="2">
        <f>(D136*(2/(Inputs!$B$1+1)))+(E135*(1-(2/(Inputs!$B$1+1))))</f>
        <v>0</v>
      </c>
      <c r="F136" s="2">
        <f>STDEV.S(OFFSET(D136, -(MIN(Inputs!$B$1, ROW()-1)-1), 0, MIN(Inputs!$B$1, ROW()-1), 1))</f>
        <v>0</v>
      </c>
      <c r="G136" s="2">
        <f>IF(F136=0, 0, (D136-E136)/F136)</f>
        <v>0</v>
      </c>
      <c r="H136">
        <f>IF(H135=0, IF(G136&gt;Inputs!$B$2, -1, IF(G136&lt;-Inputs!$B$2, 1, 0)), IF(AND(H135=1, G136&gt;-Inputs!$B$3), 0, IF(AND(H135=-1, G136&lt;Inputs!$B$3), 0, H135)))</f>
        <v>0</v>
      </c>
      <c r="I136" s="3">
        <f>(((B136/B135)-(C136/C135))*H135)-IF(H136&lt;&gt;H135, Inputs!$B$4, 0)</f>
        <v>0</v>
      </c>
      <c r="J136" s="2">
        <f>J135*(1+I136)</f>
        <v>0</v>
      </c>
      <c r="K136" s="3">
        <f>(B136-B135)/B135</f>
        <v>0</v>
      </c>
      <c r="L136" s="2">
        <f>MAX(J$2:J136)</f>
        <v>0</v>
      </c>
      <c r="M136" s="3">
        <f>(J136-L136)/L136</f>
        <v>0</v>
      </c>
    </row>
    <row r="137" spans="1:13">
      <c r="A137" t="s">
        <v>160</v>
      </c>
      <c r="B137" s="2">
        <v>41.715</v>
      </c>
      <c r="C137" s="2">
        <v>251.7352656</v>
      </c>
      <c r="D137" s="2">
        <f>B137/C137</f>
        <v>0</v>
      </c>
      <c r="E137" s="2">
        <f>(D137*(2/(Inputs!$B$1+1)))+(E136*(1-(2/(Inputs!$B$1+1))))</f>
        <v>0</v>
      </c>
      <c r="F137" s="2">
        <f>STDEV.S(OFFSET(D137, -(MIN(Inputs!$B$1, ROW()-1)-1), 0, MIN(Inputs!$B$1, ROW()-1), 1))</f>
        <v>0</v>
      </c>
      <c r="G137" s="2">
        <f>IF(F137=0, 0, (D137-E137)/F137)</f>
        <v>0</v>
      </c>
      <c r="H137">
        <f>IF(H136=0, IF(G137&gt;Inputs!$B$2, -1, IF(G137&lt;-Inputs!$B$2, 1, 0)), IF(AND(H136=1, G137&gt;-Inputs!$B$3), 0, IF(AND(H136=-1, G137&lt;Inputs!$B$3), 0, H136)))</f>
        <v>0</v>
      </c>
      <c r="I137" s="3">
        <f>(((B137/B136)-(C137/C136))*H136)-IF(H137&lt;&gt;H136, Inputs!$B$4, 0)</f>
        <v>0</v>
      </c>
      <c r="J137" s="2">
        <f>J136*(1+I137)</f>
        <v>0</v>
      </c>
      <c r="K137" s="3">
        <f>(B137-B136)/B136</f>
        <v>0</v>
      </c>
      <c r="L137" s="2">
        <f>MAX(J$2:J137)</f>
        <v>0</v>
      </c>
      <c r="M137" s="3">
        <f>(J137-L137)/L137</f>
        <v>0</v>
      </c>
    </row>
    <row r="138" spans="1:13">
      <c r="A138" t="s">
        <v>161</v>
      </c>
      <c r="B138" s="2">
        <v>39.1361</v>
      </c>
      <c r="C138" s="2">
        <v>237.6107552</v>
      </c>
      <c r="D138" s="2">
        <f>B138/C138</f>
        <v>0</v>
      </c>
      <c r="E138" s="2">
        <f>(D138*(2/(Inputs!$B$1+1)))+(E137*(1-(2/(Inputs!$B$1+1))))</f>
        <v>0</v>
      </c>
      <c r="F138" s="2">
        <f>STDEV.S(OFFSET(D138, -(MIN(Inputs!$B$1, ROW()-1)-1), 0, MIN(Inputs!$B$1, ROW()-1), 1))</f>
        <v>0</v>
      </c>
      <c r="G138" s="2">
        <f>IF(F138=0, 0, (D138-E138)/F138)</f>
        <v>0</v>
      </c>
      <c r="H138">
        <f>IF(H137=0, IF(G138&gt;Inputs!$B$2, -1, IF(G138&lt;-Inputs!$B$2, 1, 0)), IF(AND(H137=1, G138&gt;-Inputs!$B$3), 0, IF(AND(H137=-1, G138&lt;Inputs!$B$3), 0, H137)))</f>
        <v>0</v>
      </c>
      <c r="I138" s="3">
        <f>(((B138/B137)-(C138/C137))*H137)-IF(H138&lt;&gt;H137, Inputs!$B$4, 0)</f>
        <v>0</v>
      </c>
      <c r="J138" s="2">
        <f>J137*(1+I138)</f>
        <v>0</v>
      </c>
      <c r="K138" s="3">
        <f>(B138-B137)/B137</f>
        <v>0</v>
      </c>
      <c r="L138" s="2">
        <f>MAX(J$2:J138)</f>
        <v>0</v>
      </c>
      <c r="M138" s="3">
        <f>(J138-L138)/L138</f>
        <v>0</v>
      </c>
    </row>
    <row r="139" spans="1:13">
      <c r="A139" t="s">
        <v>162</v>
      </c>
      <c r="B139" s="2">
        <v>41.4466</v>
      </c>
      <c r="C139" s="2">
        <v>250.6537838</v>
      </c>
      <c r="D139" s="2">
        <f>B139/C139</f>
        <v>0</v>
      </c>
      <c r="E139" s="2">
        <f>(D139*(2/(Inputs!$B$1+1)))+(E138*(1-(2/(Inputs!$B$1+1))))</f>
        <v>0</v>
      </c>
      <c r="F139" s="2">
        <f>STDEV.S(OFFSET(D139, -(MIN(Inputs!$B$1, ROW()-1)-1), 0, MIN(Inputs!$B$1, ROW()-1), 1))</f>
        <v>0</v>
      </c>
      <c r="G139" s="2">
        <f>IF(F139=0, 0, (D139-E139)/F139)</f>
        <v>0</v>
      </c>
      <c r="H139">
        <f>IF(H138=0, IF(G139&gt;Inputs!$B$2, -1, IF(G139&lt;-Inputs!$B$2, 1, 0)), IF(AND(H138=1, G139&gt;-Inputs!$B$3), 0, IF(AND(H138=-1, G139&lt;Inputs!$B$3), 0, H138)))</f>
        <v>0</v>
      </c>
      <c r="I139" s="3">
        <f>(((B139/B138)-(C139/C138))*H138)-IF(H139&lt;&gt;H138, Inputs!$B$4, 0)</f>
        <v>0</v>
      </c>
      <c r="J139" s="2">
        <f>J138*(1+I139)</f>
        <v>0</v>
      </c>
      <c r="K139" s="3">
        <f>(B139-B138)/B138</f>
        <v>0</v>
      </c>
      <c r="L139" s="2">
        <f>MAX(J$2:J139)</f>
        <v>0</v>
      </c>
      <c r="M139" s="3">
        <f>(J139-L139)/L139</f>
        <v>0</v>
      </c>
    </row>
    <row r="140" spans="1:13">
      <c r="A140" t="s">
        <v>163</v>
      </c>
      <c r="B140" s="2">
        <v>42.8968</v>
      </c>
      <c r="C140" s="2">
        <v>261.9499008</v>
      </c>
      <c r="D140" s="2">
        <f>B140/C140</f>
        <v>0</v>
      </c>
      <c r="E140" s="2">
        <f>(D140*(2/(Inputs!$B$1+1)))+(E139*(1-(2/(Inputs!$B$1+1))))</f>
        <v>0</v>
      </c>
      <c r="F140" s="2">
        <f>STDEV.S(OFFSET(D140, -(MIN(Inputs!$B$1, ROW()-1)-1), 0, MIN(Inputs!$B$1, ROW()-1), 1))</f>
        <v>0</v>
      </c>
      <c r="G140" s="2">
        <f>IF(F140=0, 0, (D140-E140)/F140)</f>
        <v>0</v>
      </c>
      <c r="H140">
        <f>IF(H139=0, IF(G140&gt;Inputs!$B$2, -1, IF(G140&lt;-Inputs!$B$2, 1, 0)), IF(AND(H139=1, G140&gt;-Inputs!$B$3), 0, IF(AND(H139=-1, G140&lt;Inputs!$B$3), 0, H139)))</f>
        <v>0</v>
      </c>
      <c r="I140" s="3">
        <f>(((B140/B139)-(C140/C139))*H139)-IF(H140&lt;&gt;H139, Inputs!$B$4, 0)</f>
        <v>0</v>
      </c>
      <c r="J140" s="2">
        <f>J139*(1+I140)</f>
        <v>0</v>
      </c>
      <c r="K140" s="3">
        <f>(B140-B139)/B139</f>
        <v>0</v>
      </c>
      <c r="L140" s="2">
        <f>MAX(J$2:J140)</f>
        <v>0</v>
      </c>
      <c r="M140" s="3">
        <f>(J140-L140)/L140</f>
        <v>0</v>
      </c>
    </row>
    <row r="141" spans="1:13">
      <c r="A141" t="s">
        <v>164</v>
      </c>
      <c r="B141" s="2">
        <v>40.329</v>
      </c>
      <c r="C141" s="2">
        <v>244.5540812</v>
      </c>
      <c r="D141" s="2">
        <f>B141/C141</f>
        <v>0</v>
      </c>
      <c r="E141" s="2">
        <f>(D141*(2/(Inputs!$B$1+1)))+(E140*(1-(2/(Inputs!$B$1+1))))</f>
        <v>0</v>
      </c>
      <c r="F141" s="2">
        <f>STDEV.S(OFFSET(D141, -(MIN(Inputs!$B$1, ROW()-1)-1), 0, MIN(Inputs!$B$1, ROW()-1), 1))</f>
        <v>0</v>
      </c>
      <c r="G141" s="2">
        <f>IF(F141=0, 0, (D141-E141)/F141)</f>
        <v>0</v>
      </c>
      <c r="H141">
        <f>IF(H140=0, IF(G141&gt;Inputs!$B$2, -1, IF(G141&lt;-Inputs!$B$2, 1, 0)), IF(AND(H140=1, G141&gt;-Inputs!$B$3), 0, IF(AND(H140=-1, G141&lt;Inputs!$B$3), 0, H140)))</f>
        <v>0</v>
      </c>
      <c r="I141" s="3">
        <f>(((B141/B140)-(C141/C140))*H140)-IF(H141&lt;&gt;H140, Inputs!$B$4, 0)</f>
        <v>0</v>
      </c>
      <c r="J141" s="2">
        <f>J140*(1+I141)</f>
        <v>0</v>
      </c>
      <c r="K141" s="3">
        <f>(B141-B140)/B140</f>
        <v>0</v>
      </c>
      <c r="L141" s="2">
        <f>MAX(J$2:J141)</f>
        <v>0</v>
      </c>
      <c r="M141" s="3">
        <f>(J141-L141)/L141</f>
        <v>0</v>
      </c>
    </row>
    <row r="142" spans="1:13">
      <c r="A142" t="s">
        <v>165</v>
      </c>
      <c r="B142" s="2">
        <v>40.0013</v>
      </c>
      <c r="C142" s="2">
        <v>240.4453392</v>
      </c>
      <c r="D142" s="2">
        <f>B142/C142</f>
        <v>0</v>
      </c>
      <c r="E142" s="2">
        <f>(D142*(2/(Inputs!$B$1+1)))+(E141*(1-(2/(Inputs!$B$1+1))))</f>
        <v>0</v>
      </c>
      <c r="F142" s="2">
        <f>STDEV.S(OFFSET(D142, -(MIN(Inputs!$B$1, ROW()-1)-1), 0, MIN(Inputs!$B$1, ROW()-1), 1))</f>
        <v>0</v>
      </c>
      <c r="G142" s="2">
        <f>IF(F142=0, 0, (D142-E142)/F142)</f>
        <v>0</v>
      </c>
      <c r="H142">
        <f>IF(H141=0, IF(G142&gt;Inputs!$B$2, -1, IF(G142&lt;-Inputs!$B$2, 1, 0)), IF(AND(H141=1, G142&gt;-Inputs!$B$3), 0, IF(AND(H141=-1, G142&lt;Inputs!$B$3), 0, H141)))</f>
        <v>0</v>
      </c>
      <c r="I142" s="3">
        <f>(((B142/B141)-(C142/C141))*H141)-IF(H142&lt;&gt;H141, Inputs!$B$4, 0)</f>
        <v>0</v>
      </c>
      <c r="J142" s="2">
        <f>J141*(1+I142)</f>
        <v>0</v>
      </c>
      <c r="K142" s="3">
        <f>(B142-B141)/B141</f>
        <v>0</v>
      </c>
      <c r="L142" s="2">
        <f>MAX(J$2:J142)</f>
        <v>0</v>
      </c>
      <c r="M142" s="3">
        <f>(J142-L142)/L142</f>
        <v>0</v>
      </c>
    </row>
    <row r="143" spans="1:13">
      <c r="A143" t="s">
        <v>166</v>
      </c>
      <c r="B143" s="2">
        <v>39.7281</v>
      </c>
      <c r="C143" s="2">
        <v>241.1525235</v>
      </c>
      <c r="D143" s="2">
        <f>B143/C143</f>
        <v>0</v>
      </c>
      <c r="E143" s="2">
        <f>(D143*(2/(Inputs!$B$1+1)))+(E142*(1-(2/(Inputs!$B$1+1))))</f>
        <v>0</v>
      </c>
      <c r="F143" s="2">
        <f>STDEV.S(OFFSET(D143, -(MIN(Inputs!$B$1, ROW()-1)-1), 0, MIN(Inputs!$B$1, ROW()-1), 1))</f>
        <v>0</v>
      </c>
      <c r="G143" s="2">
        <f>IF(F143=0, 0, (D143-E143)/F143)</f>
        <v>0</v>
      </c>
      <c r="H143">
        <f>IF(H142=0, IF(G143&gt;Inputs!$B$2, -1, IF(G143&lt;-Inputs!$B$2, 1, 0)), IF(AND(H142=1, G143&gt;-Inputs!$B$3), 0, IF(AND(H142=-1, G143&lt;Inputs!$B$3), 0, H142)))</f>
        <v>0</v>
      </c>
      <c r="I143" s="3">
        <f>(((B143/B142)-(C143/C142))*H142)-IF(H143&lt;&gt;H142, Inputs!$B$4, 0)</f>
        <v>0</v>
      </c>
      <c r="J143" s="2">
        <f>J142*(1+I143)</f>
        <v>0</v>
      </c>
      <c r="K143" s="3">
        <f>(B143-B142)/B142</f>
        <v>0</v>
      </c>
      <c r="L143" s="2">
        <f>MAX(J$2:J143)</f>
        <v>0</v>
      </c>
      <c r="M143" s="3">
        <f>(J143-L143)/L143</f>
        <v>0</v>
      </c>
    </row>
    <row r="144" spans="1:13">
      <c r="A144" t="s">
        <v>167</v>
      </c>
      <c r="B144" s="2">
        <v>42.2065</v>
      </c>
      <c r="C144" s="2">
        <v>256.96135</v>
      </c>
      <c r="D144" s="2">
        <f>B144/C144</f>
        <v>0</v>
      </c>
      <c r="E144" s="2">
        <f>(D144*(2/(Inputs!$B$1+1)))+(E143*(1-(2/(Inputs!$B$1+1))))</f>
        <v>0</v>
      </c>
      <c r="F144" s="2">
        <f>STDEV.S(OFFSET(D144, -(MIN(Inputs!$B$1, ROW()-1)-1), 0, MIN(Inputs!$B$1, ROW()-1), 1))</f>
        <v>0</v>
      </c>
      <c r="G144" s="2">
        <f>IF(F144=0, 0, (D144-E144)/F144)</f>
        <v>0</v>
      </c>
      <c r="H144">
        <f>IF(H143=0, IF(G144&gt;Inputs!$B$2, -1, IF(G144&lt;-Inputs!$B$2, 1, 0)), IF(AND(H143=1, G144&gt;-Inputs!$B$3), 0, IF(AND(H143=-1, G144&lt;Inputs!$B$3), 0, H143)))</f>
        <v>0</v>
      </c>
      <c r="I144" s="3">
        <f>(((B144/B143)-(C144/C143))*H143)-IF(H144&lt;&gt;H143, Inputs!$B$4, 0)</f>
        <v>0</v>
      </c>
      <c r="J144" s="2">
        <f>J143*(1+I144)</f>
        <v>0</v>
      </c>
      <c r="K144" s="3">
        <f>(B144-B143)/B143</f>
        <v>0</v>
      </c>
      <c r="L144" s="2">
        <f>MAX(J$2:J144)</f>
        <v>0</v>
      </c>
      <c r="M144" s="3">
        <f>(J144-L144)/L144</f>
        <v>0</v>
      </c>
    </row>
    <row r="145" spans="1:13">
      <c r="A145" t="s">
        <v>168</v>
      </c>
      <c r="B145" s="2">
        <v>42.574</v>
      </c>
      <c r="C145" s="2">
        <v>258.3212108</v>
      </c>
      <c r="D145" s="2">
        <f>B145/C145</f>
        <v>0</v>
      </c>
      <c r="E145" s="2">
        <f>(D145*(2/(Inputs!$B$1+1)))+(E144*(1-(2/(Inputs!$B$1+1))))</f>
        <v>0</v>
      </c>
      <c r="F145" s="2">
        <f>STDEV.S(OFFSET(D145, -(MIN(Inputs!$B$1, ROW()-1)-1), 0, MIN(Inputs!$B$1, ROW()-1), 1))</f>
        <v>0</v>
      </c>
      <c r="G145" s="2">
        <f>IF(F145=0, 0, (D145-E145)/F145)</f>
        <v>0</v>
      </c>
      <c r="H145">
        <f>IF(H144=0, IF(G145&gt;Inputs!$B$2, -1, IF(G145&lt;-Inputs!$B$2, 1, 0)), IF(AND(H144=1, G145&gt;-Inputs!$B$3), 0, IF(AND(H144=-1, G145&lt;Inputs!$B$3), 0, H144)))</f>
        <v>0</v>
      </c>
      <c r="I145" s="3">
        <f>(((B145/B144)-(C145/C144))*H144)-IF(H145&lt;&gt;H144, Inputs!$B$4, 0)</f>
        <v>0</v>
      </c>
      <c r="J145" s="2">
        <f>J144*(1+I145)</f>
        <v>0</v>
      </c>
      <c r="K145" s="3">
        <f>(B145-B144)/B144</f>
        <v>0</v>
      </c>
      <c r="L145" s="2">
        <f>MAX(J$2:J145)</f>
        <v>0</v>
      </c>
      <c r="M145" s="3">
        <f>(J145-L145)/L145</f>
        <v>0</v>
      </c>
    </row>
    <row r="146" spans="1:13">
      <c r="A146" t="s">
        <v>169</v>
      </c>
      <c r="B146" s="2">
        <v>40.0112</v>
      </c>
      <c r="C146" s="2">
        <v>242.8442598</v>
      </c>
      <c r="D146" s="2">
        <f>B146/C146</f>
        <v>0</v>
      </c>
      <c r="E146" s="2">
        <f>(D146*(2/(Inputs!$B$1+1)))+(E145*(1-(2/(Inputs!$B$1+1))))</f>
        <v>0</v>
      </c>
      <c r="F146" s="2">
        <f>STDEV.S(OFFSET(D146, -(MIN(Inputs!$B$1, ROW()-1)-1), 0, MIN(Inputs!$B$1, ROW()-1), 1))</f>
        <v>0</v>
      </c>
      <c r="G146" s="2">
        <f>IF(F146=0, 0, (D146-E146)/F146)</f>
        <v>0</v>
      </c>
      <c r="H146">
        <f>IF(H145=0, IF(G146&gt;Inputs!$B$2, -1, IF(G146&lt;-Inputs!$B$2, 1, 0)), IF(AND(H145=1, G146&gt;-Inputs!$B$3), 0, IF(AND(H145=-1, G146&lt;Inputs!$B$3), 0, H145)))</f>
        <v>0</v>
      </c>
      <c r="I146" s="3">
        <f>(((B146/B145)-(C146/C145))*H145)-IF(H146&lt;&gt;H145, Inputs!$B$4, 0)</f>
        <v>0</v>
      </c>
      <c r="J146" s="2">
        <f>J145*(1+I146)</f>
        <v>0</v>
      </c>
      <c r="K146" s="3">
        <f>(B146-B145)/B145</f>
        <v>0</v>
      </c>
      <c r="L146" s="2">
        <f>MAX(J$2:J146)</f>
        <v>0</v>
      </c>
      <c r="M146" s="3">
        <f>(J146-L146)/L146</f>
        <v>0</v>
      </c>
    </row>
    <row r="147" spans="1:13">
      <c r="A147" t="s">
        <v>170</v>
      </c>
      <c r="B147" s="2">
        <v>39.1372</v>
      </c>
      <c r="C147" s="2">
        <v>236.03707</v>
      </c>
      <c r="D147" s="2">
        <f>B147/C147</f>
        <v>0</v>
      </c>
      <c r="E147" s="2">
        <f>(D147*(2/(Inputs!$B$1+1)))+(E146*(1-(2/(Inputs!$B$1+1))))</f>
        <v>0</v>
      </c>
      <c r="F147" s="2">
        <f>STDEV.S(OFFSET(D147, -(MIN(Inputs!$B$1, ROW()-1)-1), 0, MIN(Inputs!$B$1, ROW()-1), 1))</f>
        <v>0</v>
      </c>
      <c r="G147" s="2">
        <f>IF(F147=0, 0, (D147-E147)/F147)</f>
        <v>0</v>
      </c>
      <c r="H147">
        <f>IF(H146=0, IF(G147&gt;Inputs!$B$2, -1, IF(G147&lt;-Inputs!$B$2, 1, 0)), IF(AND(H146=1, G147&gt;-Inputs!$B$3), 0, IF(AND(H146=-1, G147&lt;Inputs!$B$3), 0, H146)))</f>
        <v>0</v>
      </c>
      <c r="I147" s="3">
        <f>(((B147/B146)-(C147/C146))*H146)-IF(H147&lt;&gt;H146, Inputs!$B$4, 0)</f>
        <v>0</v>
      </c>
      <c r="J147" s="2">
        <f>J146*(1+I147)</f>
        <v>0</v>
      </c>
      <c r="K147" s="3">
        <f>(B147-B146)/B146</f>
        <v>0</v>
      </c>
      <c r="L147" s="2">
        <f>MAX(J$2:J147)</f>
        <v>0</v>
      </c>
      <c r="M147" s="3">
        <f>(J147-L147)/L147</f>
        <v>0</v>
      </c>
    </row>
    <row r="148" spans="1:13">
      <c r="A148" t="s">
        <v>171</v>
      </c>
      <c r="B148" s="2">
        <v>36.7779</v>
      </c>
      <c r="C148" s="2">
        <v>222.3303309</v>
      </c>
      <c r="D148" s="2">
        <f>B148/C148</f>
        <v>0</v>
      </c>
      <c r="E148" s="2">
        <f>(D148*(2/(Inputs!$B$1+1)))+(E147*(1-(2/(Inputs!$B$1+1))))</f>
        <v>0</v>
      </c>
      <c r="F148" s="2">
        <f>STDEV.S(OFFSET(D148, -(MIN(Inputs!$B$1, ROW()-1)-1), 0, MIN(Inputs!$B$1, ROW()-1), 1))</f>
        <v>0</v>
      </c>
      <c r="G148" s="2">
        <f>IF(F148=0, 0, (D148-E148)/F148)</f>
        <v>0</v>
      </c>
      <c r="H148">
        <f>IF(H147=0, IF(G148&gt;Inputs!$B$2, -1, IF(G148&lt;-Inputs!$B$2, 1, 0)), IF(AND(H147=1, G148&gt;-Inputs!$B$3), 0, IF(AND(H147=-1, G148&lt;Inputs!$B$3), 0, H147)))</f>
        <v>0</v>
      </c>
      <c r="I148" s="3">
        <f>(((B148/B147)-(C148/C147))*H147)-IF(H148&lt;&gt;H147, Inputs!$B$4, 0)</f>
        <v>0</v>
      </c>
      <c r="J148" s="2">
        <f>J147*(1+I148)</f>
        <v>0</v>
      </c>
      <c r="K148" s="3">
        <f>(B148-B147)/B147</f>
        <v>0</v>
      </c>
      <c r="L148" s="2">
        <f>MAX(J$2:J148)</f>
        <v>0</v>
      </c>
      <c r="M148" s="3">
        <f>(J148-L148)/L148</f>
        <v>0</v>
      </c>
    </row>
    <row r="149" spans="1:13">
      <c r="A149" t="s">
        <v>172</v>
      </c>
      <c r="B149" s="2">
        <v>38.4815</v>
      </c>
      <c r="C149" s="2">
        <v>232.6013382</v>
      </c>
      <c r="D149" s="2">
        <f>B149/C149</f>
        <v>0</v>
      </c>
      <c r="E149" s="2">
        <f>(D149*(2/(Inputs!$B$1+1)))+(E148*(1-(2/(Inputs!$B$1+1))))</f>
        <v>0</v>
      </c>
      <c r="F149" s="2">
        <f>STDEV.S(OFFSET(D149, -(MIN(Inputs!$B$1, ROW()-1)-1), 0, MIN(Inputs!$B$1, ROW()-1), 1))</f>
        <v>0</v>
      </c>
      <c r="G149" s="2">
        <f>IF(F149=0, 0, (D149-E149)/F149)</f>
        <v>0</v>
      </c>
      <c r="H149">
        <f>IF(H148=0, IF(G149&gt;Inputs!$B$2, -1, IF(G149&lt;-Inputs!$B$2, 1, 0)), IF(AND(H148=1, G149&gt;-Inputs!$B$3), 0, IF(AND(H148=-1, G149&lt;Inputs!$B$3), 0, H148)))</f>
        <v>0</v>
      </c>
      <c r="I149" s="3">
        <f>(((B149/B148)-(C149/C148))*H148)-IF(H149&lt;&gt;H148, Inputs!$B$4, 0)</f>
        <v>0</v>
      </c>
      <c r="J149" s="2">
        <f>J148*(1+I149)</f>
        <v>0</v>
      </c>
      <c r="K149" s="3">
        <f>(B149-B148)/B148</f>
        <v>0</v>
      </c>
      <c r="L149" s="2">
        <f>MAX(J$2:J149)</f>
        <v>0</v>
      </c>
      <c r="M149" s="3">
        <f>(J149-L149)/L149</f>
        <v>0</v>
      </c>
    </row>
    <row r="150" spans="1:13">
      <c r="A150" t="s">
        <v>173</v>
      </c>
      <c r="B150" s="2">
        <v>39.3904</v>
      </c>
      <c r="C150" s="2">
        <v>239.835596</v>
      </c>
      <c r="D150" s="2">
        <f>B150/C150</f>
        <v>0</v>
      </c>
      <c r="E150" s="2">
        <f>(D150*(2/(Inputs!$B$1+1)))+(E149*(1-(2/(Inputs!$B$1+1))))</f>
        <v>0</v>
      </c>
      <c r="F150" s="2">
        <f>STDEV.S(OFFSET(D150, -(MIN(Inputs!$B$1, ROW()-1)-1), 0, MIN(Inputs!$B$1, ROW()-1), 1))</f>
        <v>0</v>
      </c>
      <c r="G150" s="2">
        <f>IF(F150=0, 0, (D150-E150)/F150)</f>
        <v>0</v>
      </c>
      <c r="H150">
        <f>IF(H149=0, IF(G150&gt;Inputs!$B$2, -1, IF(G150&lt;-Inputs!$B$2, 1, 0)), IF(AND(H149=1, G150&gt;-Inputs!$B$3), 0, IF(AND(H149=-1, G150&lt;Inputs!$B$3), 0, H149)))</f>
        <v>0</v>
      </c>
      <c r="I150" s="3">
        <f>(((B150/B149)-(C150/C149))*H149)-IF(H150&lt;&gt;H149, Inputs!$B$4, 0)</f>
        <v>0</v>
      </c>
      <c r="J150" s="2">
        <f>J149*(1+I150)</f>
        <v>0</v>
      </c>
      <c r="K150" s="3">
        <f>(B150-B149)/B149</f>
        <v>0</v>
      </c>
      <c r="L150" s="2">
        <f>MAX(J$2:J150)</f>
        <v>0</v>
      </c>
      <c r="M150" s="3">
        <f>(J150-L150)/L150</f>
        <v>0</v>
      </c>
    </row>
    <row r="151" spans="1:13">
      <c r="A151" t="s">
        <v>174</v>
      </c>
      <c r="B151" s="2">
        <v>40.7313</v>
      </c>
      <c r="C151" s="2">
        <v>244.1371536</v>
      </c>
      <c r="D151" s="2">
        <f>B151/C151</f>
        <v>0</v>
      </c>
      <c r="E151" s="2">
        <f>(D151*(2/(Inputs!$B$1+1)))+(E150*(1-(2/(Inputs!$B$1+1))))</f>
        <v>0</v>
      </c>
      <c r="F151" s="2">
        <f>STDEV.S(OFFSET(D151, -(MIN(Inputs!$B$1, ROW()-1)-1), 0, MIN(Inputs!$B$1, ROW()-1), 1))</f>
        <v>0</v>
      </c>
      <c r="G151" s="2">
        <f>IF(F151=0, 0, (D151-E151)/F151)</f>
        <v>0</v>
      </c>
      <c r="H151">
        <f>IF(H150=0, IF(G151&gt;Inputs!$B$2, -1, IF(G151&lt;-Inputs!$B$2, 1, 0)), IF(AND(H150=1, G151&gt;-Inputs!$B$3), 0, IF(AND(H150=-1, G151&lt;Inputs!$B$3), 0, H150)))</f>
        <v>0</v>
      </c>
      <c r="I151" s="3">
        <f>(((B151/B150)-(C151/C150))*H150)-IF(H151&lt;&gt;H150, Inputs!$B$4, 0)</f>
        <v>0</v>
      </c>
      <c r="J151" s="2">
        <f>J150*(1+I151)</f>
        <v>0</v>
      </c>
      <c r="K151" s="3">
        <f>(B151-B150)/B150</f>
        <v>0</v>
      </c>
      <c r="L151" s="2">
        <f>MAX(J$2:J151)</f>
        <v>0</v>
      </c>
      <c r="M151" s="3">
        <f>(J151-L151)/L151</f>
        <v>0</v>
      </c>
    </row>
    <row r="152" spans="1:13">
      <c r="A152" t="s">
        <v>175</v>
      </c>
      <c r="B152" s="2">
        <v>41.5658</v>
      </c>
      <c r="C152" s="2">
        <v>249.88744</v>
      </c>
      <c r="D152" s="2">
        <f>B152/C152</f>
        <v>0</v>
      </c>
      <c r="E152" s="2">
        <f>(D152*(2/(Inputs!$B$1+1)))+(E151*(1-(2/(Inputs!$B$1+1))))</f>
        <v>0</v>
      </c>
      <c r="F152" s="2">
        <f>STDEV.S(OFFSET(D152, -(MIN(Inputs!$B$1, ROW()-1)-1), 0, MIN(Inputs!$B$1, ROW()-1), 1))</f>
        <v>0</v>
      </c>
      <c r="G152" s="2">
        <f>IF(F152=0, 0, (D152-E152)/F152)</f>
        <v>0</v>
      </c>
      <c r="H152">
        <f>IF(H151=0, IF(G152&gt;Inputs!$B$2, -1, IF(G152&lt;-Inputs!$B$2, 1, 0)), IF(AND(H151=1, G152&gt;-Inputs!$B$3), 0, IF(AND(H151=-1, G152&lt;Inputs!$B$3), 0, H151)))</f>
        <v>0</v>
      </c>
      <c r="I152" s="3">
        <f>(((B152/B151)-(C152/C151))*H151)-IF(H152&lt;&gt;H151, Inputs!$B$4, 0)</f>
        <v>0</v>
      </c>
      <c r="J152" s="2">
        <f>J151*(1+I152)</f>
        <v>0</v>
      </c>
      <c r="K152" s="3">
        <f>(B152-B151)/B151</f>
        <v>0</v>
      </c>
      <c r="L152" s="2">
        <f>MAX(J$2:J152)</f>
        <v>0</v>
      </c>
      <c r="M152" s="3">
        <f>(J152-L152)/L152</f>
        <v>0</v>
      </c>
    </row>
    <row r="153" spans="1:13">
      <c r="A153" t="s">
        <v>176</v>
      </c>
      <c r="B153" s="2">
        <v>41.9433</v>
      </c>
      <c r="C153" s="2">
        <v>251.9980008</v>
      </c>
      <c r="D153" s="2">
        <f>B153/C153</f>
        <v>0</v>
      </c>
      <c r="E153" s="2">
        <f>(D153*(2/(Inputs!$B$1+1)))+(E152*(1-(2/(Inputs!$B$1+1))))</f>
        <v>0</v>
      </c>
      <c r="F153" s="2">
        <f>STDEV.S(OFFSET(D153, -(MIN(Inputs!$B$1, ROW()-1)-1), 0, MIN(Inputs!$B$1, ROW()-1), 1))</f>
        <v>0</v>
      </c>
      <c r="G153" s="2">
        <f>IF(F153=0, 0, (D153-E153)/F153)</f>
        <v>0</v>
      </c>
      <c r="H153">
        <f>IF(H152=0, IF(G153&gt;Inputs!$B$2, -1, IF(G153&lt;-Inputs!$B$2, 1, 0)), IF(AND(H152=1, G153&gt;-Inputs!$B$3), 0, IF(AND(H152=-1, G153&lt;Inputs!$B$3), 0, H152)))</f>
        <v>0</v>
      </c>
      <c r="I153" s="3">
        <f>(((B153/B152)-(C153/C152))*H152)-IF(H153&lt;&gt;H152, Inputs!$B$4, 0)</f>
        <v>0</v>
      </c>
      <c r="J153" s="2">
        <f>J152*(1+I153)</f>
        <v>0</v>
      </c>
      <c r="K153" s="3">
        <f>(B153-B152)/B152</f>
        <v>0</v>
      </c>
      <c r="L153" s="2">
        <f>MAX(J$2:J153)</f>
        <v>0</v>
      </c>
      <c r="M153" s="3">
        <f>(J153-L153)/L153</f>
        <v>0</v>
      </c>
    </row>
    <row r="154" spans="1:13">
      <c r="A154" t="s">
        <v>177</v>
      </c>
      <c r="B154" s="2">
        <v>43.1303</v>
      </c>
      <c r="C154" s="2">
        <v>261.72248</v>
      </c>
      <c r="D154" s="2">
        <f>B154/C154</f>
        <v>0</v>
      </c>
      <c r="E154" s="2">
        <f>(D154*(2/(Inputs!$B$1+1)))+(E153*(1-(2/(Inputs!$B$1+1))))</f>
        <v>0</v>
      </c>
      <c r="F154" s="2">
        <f>STDEV.S(OFFSET(D154, -(MIN(Inputs!$B$1, ROW()-1)-1), 0, MIN(Inputs!$B$1, ROW()-1), 1))</f>
        <v>0</v>
      </c>
      <c r="G154" s="2">
        <f>IF(F154=0, 0, (D154-E154)/F154)</f>
        <v>0</v>
      </c>
      <c r="H154">
        <f>IF(H153=0, IF(G154&gt;Inputs!$B$2, -1, IF(G154&lt;-Inputs!$B$2, 1, 0)), IF(AND(H153=1, G154&gt;-Inputs!$B$3), 0, IF(AND(H153=-1, G154&lt;Inputs!$B$3), 0, H153)))</f>
        <v>0</v>
      </c>
      <c r="I154" s="3">
        <f>(((B154/B153)-(C154/C153))*H153)-IF(H154&lt;&gt;H153, Inputs!$B$4, 0)</f>
        <v>0</v>
      </c>
      <c r="J154" s="2">
        <f>J153*(1+I154)</f>
        <v>0</v>
      </c>
      <c r="K154" s="3">
        <f>(B154-B153)/B153</f>
        <v>0</v>
      </c>
      <c r="L154" s="2">
        <f>MAX(J$2:J154)</f>
        <v>0</v>
      </c>
      <c r="M154" s="3">
        <f>(J154-L154)/L154</f>
        <v>0</v>
      </c>
    </row>
    <row r="155" spans="1:13">
      <c r="A155" t="s">
        <v>178</v>
      </c>
      <c r="B155" s="2">
        <v>42.9813</v>
      </c>
      <c r="C155" s="2">
        <v>261.1680888</v>
      </c>
      <c r="D155" s="2">
        <f>B155/C155</f>
        <v>0</v>
      </c>
      <c r="E155" s="2">
        <f>(D155*(2/(Inputs!$B$1+1)))+(E154*(1-(2/(Inputs!$B$1+1))))</f>
        <v>0</v>
      </c>
      <c r="F155" s="2">
        <f>STDEV.S(OFFSET(D155, -(MIN(Inputs!$B$1, ROW()-1)-1), 0, MIN(Inputs!$B$1, ROW()-1), 1))</f>
        <v>0</v>
      </c>
      <c r="G155" s="2">
        <f>IF(F155=0, 0, (D155-E155)/F155)</f>
        <v>0</v>
      </c>
      <c r="H155">
        <f>IF(H154=0, IF(G155&gt;Inputs!$B$2, -1, IF(G155&lt;-Inputs!$B$2, 1, 0)), IF(AND(H154=1, G155&gt;-Inputs!$B$3), 0, IF(AND(H154=-1, G155&lt;Inputs!$B$3), 0, H154)))</f>
        <v>0</v>
      </c>
      <c r="I155" s="3">
        <f>(((B155/B154)-(C155/C154))*H154)-IF(H155&lt;&gt;H154, Inputs!$B$4, 0)</f>
        <v>0</v>
      </c>
      <c r="J155" s="2">
        <f>J154*(1+I155)</f>
        <v>0</v>
      </c>
      <c r="K155" s="3">
        <f>(B155-B154)/B154</f>
        <v>0</v>
      </c>
      <c r="L155" s="2">
        <f>MAX(J$2:J155)</f>
        <v>0</v>
      </c>
      <c r="M155" s="3">
        <f>(J155-L155)/L155</f>
        <v>0</v>
      </c>
    </row>
    <row r="156" spans="1:13">
      <c r="A156" t="s">
        <v>179</v>
      </c>
      <c r="B156" s="2">
        <v>43.92</v>
      </c>
      <c r="C156" s="2">
        <v>265.982805</v>
      </c>
      <c r="D156" s="2">
        <f>B156/C156</f>
        <v>0</v>
      </c>
      <c r="E156" s="2">
        <f>(D156*(2/(Inputs!$B$1+1)))+(E155*(1-(2/(Inputs!$B$1+1))))</f>
        <v>0</v>
      </c>
      <c r="F156" s="2">
        <f>STDEV.S(OFFSET(D156, -(MIN(Inputs!$B$1, ROW()-1)-1), 0, MIN(Inputs!$B$1, ROW()-1), 1))</f>
        <v>0</v>
      </c>
      <c r="G156" s="2">
        <f>IF(F156=0, 0, (D156-E156)/F156)</f>
        <v>0</v>
      </c>
      <c r="H156">
        <f>IF(H155=0, IF(G156&gt;Inputs!$B$2, -1, IF(G156&lt;-Inputs!$B$2, 1, 0)), IF(AND(H155=1, G156&gt;-Inputs!$B$3), 0, IF(AND(H155=-1, G156&lt;Inputs!$B$3), 0, H155)))</f>
        <v>0</v>
      </c>
      <c r="I156" s="3">
        <f>(((B156/B155)-(C156/C155))*H155)-IF(H156&lt;&gt;H155, Inputs!$B$4, 0)</f>
        <v>0</v>
      </c>
      <c r="J156" s="2">
        <f>J155*(1+I156)</f>
        <v>0</v>
      </c>
      <c r="K156" s="3">
        <f>(B156-B155)/B155</f>
        <v>0</v>
      </c>
      <c r="L156" s="2">
        <f>MAX(J$2:J156)</f>
        <v>0</v>
      </c>
      <c r="M156" s="3">
        <f>(J156-L156)/L156</f>
        <v>0</v>
      </c>
    </row>
    <row r="157" spans="1:13">
      <c r="A157" t="s">
        <v>180</v>
      </c>
      <c r="B157" s="2">
        <v>38.5312</v>
      </c>
      <c r="C157" s="2">
        <v>234.4400028</v>
      </c>
      <c r="D157" s="2">
        <f>B157/C157</f>
        <v>0</v>
      </c>
      <c r="E157" s="2">
        <f>(D157*(2/(Inputs!$B$1+1)))+(E156*(1-(2/(Inputs!$B$1+1))))</f>
        <v>0</v>
      </c>
      <c r="F157" s="2">
        <f>STDEV.S(OFFSET(D157, -(MIN(Inputs!$B$1, ROW()-1)-1), 0, MIN(Inputs!$B$1, ROW()-1), 1))</f>
        <v>0</v>
      </c>
      <c r="G157" s="2">
        <f>IF(F157=0, 0, (D157-E157)/F157)</f>
        <v>0</v>
      </c>
      <c r="H157">
        <f>IF(H156=0, IF(G157&gt;Inputs!$B$2, -1, IF(G157&lt;-Inputs!$B$2, 1, 0)), IF(AND(H156=1, G157&gt;-Inputs!$B$3), 0, IF(AND(H156=-1, G157&lt;Inputs!$B$3), 0, H156)))</f>
        <v>0</v>
      </c>
      <c r="I157" s="3">
        <f>(((B157/B156)-(C157/C156))*H156)-IF(H157&lt;&gt;H156, Inputs!$B$4, 0)</f>
        <v>0</v>
      </c>
      <c r="J157" s="2">
        <f>J156*(1+I157)</f>
        <v>0</v>
      </c>
      <c r="K157" s="3">
        <f>(B157-B156)/B156</f>
        <v>0</v>
      </c>
      <c r="L157" s="2">
        <f>MAX(J$2:J157)</f>
        <v>0</v>
      </c>
      <c r="M157" s="3">
        <f>(J157-L157)/L157</f>
        <v>0</v>
      </c>
    </row>
    <row r="158" spans="1:13">
      <c r="A158" t="s">
        <v>181</v>
      </c>
      <c r="B158" s="2">
        <v>39.5245</v>
      </c>
      <c r="C158" s="2">
        <v>238.0992852</v>
      </c>
      <c r="D158" s="2">
        <f>B158/C158</f>
        <v>0</v>
      </c>
      <c r="E158" s="2">
        <f>(D158*(2/(Inputs!$B$1+1)))+(E157*(1-(2/(Inputs!$B$1+1))))</f>
        <v>0</v>
      </c>
      <c r="F158" s="2">
        <f>STDEV.S(OFFSET(D158, -(MIN(Inputs!$B$1, ROW()-1)-1), 0, MIN(Inputs!$B$1, ROW()-1), 1))</f>
        <v>0</v>
      </c>
      <c r="G158" s="2">
        <f>IF(F158=0, 0, (D158-E158)/F158)</f>
        <v>0</v>
      </c>
      <c r="H158">
        <f>IF(H157=0, IF(G158&gt;Inputs!$B$2, -1, IF(G158&lt;-Inputs!$B$2, 1, 0)), IF(AND(H157=1, G158&gt;-Inputs!$B$3), 0, IF(AND(H157=-1, G158&lt;Inputs!$B$3), 0, H157)))</f>
        <v>0</v>
      </c>
      <c r="I158" s="3">
        <f>(((B158/B157)-(C158/C157))*H157)-IF(H158&lt;&gt;H157, Inputs!$B$4, 0)</f>
        <v>0</v>
      </c>
      <c r="J158" s="2">
        <f>J157*(1+I158)</f>
        <v>0</v>
      </c>
      <c r="K158" s="3">
        <f>(B158-B157)/B157</f>
        <v>0</v>
      </c>
      <c r="L158" s="2">
        <f>MAX(J$2:J158)</f>
        <v>0</v>
      </c>
      <c r="M158" s="3">
        <f>(J158-L158)/L158</f>
        <v>0</v>
      </c>
    </row>
    <row r="159" spans="1:13">
      <c r="A159" t="s">
        <v>182</v>
      </c>
      <c r="B159" s="2">
        <v>41.4565</v>
      </c>
      <c r="C159" s="2">
        <v>251.962112</v>
      </c>
      <c r="D159" s="2">
        <f>B159/C159</f>
        <v>0</v>
      </c>
      <c r="E159" s="2">
        <f>(D159*(2/(Inputs!$B$1+1)))+(E158*(1-(2/(Inputs!$B$1+1))))</f>
        <v>0</v>
      </c>
      <c r="F159" s="2">
        <f>STDEV.S(OFFSET(D159, -(MIN(Inputs!$B$1, ROW()-1)-1), 0, MIN(Inputs!$B$1, ROW()-1), 1))</f>
        <v>0</v>
      </c>
      <c r="G159" s="2">
        <f>IF(F159=0, 0, (D159-E159)/F159)</f>
        <v>0</v>
      </c>
      <c r="H159">
        <f>IF(H158=0, IF(G159&gt;Inputs!$B$2, -1, IF(G159&lt;-Inputs!$B$2, 1, 0)), IF(AND(H158=1, G159&gt;-Inputs!$B$3), 0, IF(AND(H158=-1, G159&lt;Inputs!$B$3), 0, H158)))</f>
        <v>0</v>
      </c>
      <c r="I159" s="3">
        <f>(((B159/B158)-(C159/C158))*H158)-IF(H159&lt;&gt;H158, Inputs!$B$4, 0)</f>
        <v>0</v>
      </c>
      <c r="J159" s="2">
        <f>J158*(1+I159)</f>
        <v>0</v>
      </c>
      <c r="K159" s="3">
        <f>(B159-B158)/B158</f>
        <v>0</v>
      </c>
      <c r="L159" s="2">
        <f>MAX(J$2:J159)</f>
        <v>0</v>
      </c>
      <c r="M159" s="3">
        <f>(J159-L159)/L159</f>
        <v>0</v>
      </c>
    </row>
    <row r="160" spans="1:13">
      <c r="A160" t="s">
        <v>183</v>
      </c>
      <c r="B160" s="2">
        <v>42.1768</v>
      </c>
      <c r="C160" s="2">
        <v>256.35736</v>
      </c>
      <c r="D160" s="2">
        <f>B160/C160</f>
        <v>0</v>
      </c>
      <c r="E160" s="2">
        <f>(D160*(2/(Inputs!$B$1+1)))+(E159*(1-(2/(Inputs!$B$1+1))))</f>
        <v>0</v>
      </c>
      <c r="F160" s="2">
        <f>STDEV.S(OFFSET(D160, -(MIN(Inputs!$B$1, ROW()-1)-1), 0, MIN(Inputs!$B$1, ROW()-1), 1))</f>
        <v>0</v>
      </c>
      <c r="G160" s="2">
        <f>IF(F160=0, 0, (D160-E160)/F160)</f>
        <v>0</v>
      </c>
      <c r="H160">
        <f>IF(H159=0, IF(G160&gt;Inputs!$B$2, -1, IF(G160&lt;-Inputs!$B$2, 1, 0)), IF(AND(H159=1, G160&gt;-Inputs!$B$3), 0, IF(AND(H159=-1, G160&lt;Inputs!$B$3), 0, H159)))</f>
        <v>0</v>
      </c>
      <c r="I160" s="3">
        <f>(((B160/B159)-(C160/C159))*H159)-IF(H160&lt;&gt;H159, Inputs!$B$4, 0)</f>
        <v>0</v>
      </c>
      <c r="J160" s="2">
        <f>J159*(1+I160)</f>
        <v>0</v>
      </c>
      <c r="K160" s="3">
        <f>(B160-B159)/B159</f>
        <v>0</v>
      </c>
      <c r="L160" s="2">
        <f>MAX(J$2:J160)</f>
        <v>0</v>
      </c>
      <c r="M160" s="3">
        <f>(J160-L160)/L160</f>
        <v>0</v>
      </c>
    </row>
    <row r="161" spans="1:13">
      <c r="A161" t="s">
        <v>184</v>
      </c>
      <c r="B161" s="2">
        <v>39.0031</v>
      </c>
      <c r="C161" s="2">
        <v>235.1737388</v>
      </c>
      <c r="D161" s="2">
        <f>B161/C161</f>
        <v>0</v>
      </c>
      <c r="E161" s="2">
        <f>(D161*(2/(Inputs!$B$1+1)))+(E160*(1-(2/(Inputs!$B$1+1))))</f>
        <v>0</v>
      </c>
      <c r="F161" s="2">
        <f>STDEV.S(OFFSET(D161, -(MIN(Inputs!$B$1, ROW()-1)-1), 0, MIN(Inputs!$B$1, ROW()-1), 1))</f>
        <v>0</v>
      </c>
      <c r="G161" s="2">
        <f>IF(F161=0, 0, (D161-E161)/F161)</f>
        <v>0</v>
      </c>
      <c r="H161">
        <f>IF(H160=0, IF(G161&gt;Inputs!$B$2, -1, IF(G161&lt;-Inputs!$B$2, 1, 0)), IF(AND(H160=1, G161&gt;-Inputs!$B$3), 0, IF(AND(H160=-1, G161&lt;Inputs!$B$3), 0, H160)))</f>
        <v>0</v>
      </c>
      <c r="I161" s="3">
        <f>(((B161/B160)-(C161/C160))*H160)-IF(H161&lt;&gt;H160, Inputs!$B$4, 0)</f>
        <v>0</v>
      </c>
      <c r="J161" s="2">
        <f>J160*(1+I161)</f>
        <v>0</v>
      </c>
      <c r="K161" s="3">
        <f>(B161-B160)/B160</f>
        <v>0</v>
      </c>
      <c r="L161" s="2">
        <f>MAX(J$2:J161)</f>
        <v>0</v>
      </c>
      <c r="M161" s="3">
        <f>(J161-L161)/L161</f>
        <v>0</v>
      </c>
    </row>
    <row r="162" spans="1:13">
      <c r="A162" t="s">
        <v>185</v>
      </c>
      <c r="B162" s="2">
        <v>42.1965</v>
      </c>
      <c r="C162" s="2">
        <v>255.0299178</v>
      </c>
      <c r="D162" s="2">
        <f>B162/C162</f>
        <v>0</v>
      </c>
      <c r="E162" s="2">
        <f>(D162*(2/(Inputs!$B$1+1)))+(E161*(1-(2/(Inputs!$B$1+1))))</f>
        <v>0</v>
      </c>
      <c r="F162" s="2">
        <f>STDEV.S(OFFSET(D162, -(MIN(Inputs!$B$1, ROW()-1)-1), 0, MIN(Inputs!$B$1, ROW()-1), 1))</f>
        <v>0</v>
      </c>
      <c r="G162" s="2">
        <f>IF(F162=0, 0, (D162-E162)/F162)</f>
        <v>0</v>
      </c>
      <c r="H162">
        <f>IF(H161=0, IF(G162&gt;Inputs!$B$2, -1, IF(G162&lt;-Inputs!$B$2, 1, 0)), IF(AND(H161=1, G162&gt;-Inputs!$B$3), 0, IF(AND(H161=-1, G162&lt;Inputs!$B$3), 0, H161)))</f>
        <v>0</v>
      </c>
      <c r="I162" s="3">
        <f>(((B162/B161)-(C162/C161))*H161)-IF(H162&lt;&gt;H161, Inputs!$B$4, 0)</f>
        <v>0</v>
      </c>
      <c r="J162" s="2">
        <f>J161*(1+I162)</f>
        <v>0</v>
      </c>
      <c r="K162" s="3">
        <f>(B162-B161)/B161</f>
        <v>0</v>
      </c>
      <c r="L162" s="2">
        <f>MAX(J$2:J162)</f>
        <v>0</v>
      </c>
      <c r="M162" s="3">
        <f>(J162-L162)/L162</f>
        <v>0</v>
      </c>
    </row>
    <row r="163" spans="1:13">
      <c r="A163" t="s">
        <v>186</v>
      </c>
      <c r="B163" s="2">
        <v>42.8422</v>
      </c>
      <c r="C163" s="2">
        <v>260.972049</v>
      </c>
      <c r="D163" s="2">
        <f>B163/C163</f>
        <v>0</v>
      </c>
      <c r="E163" s="2">
        <f>(D163*(2/(Inputs!$B$1+1)))+(E162*(1-(2/(Inputs!$B$1+1))))</f>
        <v>0</v>
      </c>
      <c r="F163" s="2">
        <f>STDEV.S(OFFSET(D163, -(MIN(Inputs!$B$1, ROW()-1)-1), 0, MIN(Inputs!$B$1, ROW()-1), 1))</f>
        <v>0</v>
      </c>
      <c r="G163" s="2">
        <f>IF(F163=0, 0, (D163-E163)/F163)</f>
        <v>0</v>
      </c>
      <c r="H163">
        <f>IF(H162=0, IF(G163&gt;Inputs!$B$2, -1, IF(G163&lt;-Inputs!$B$2, 1, 0)), IF(AND(H162=1, G163&gt;-Inputs!$B$3), 0, IF(AND(H162=-1, G163&lt;Inputs!$B$3), 0, H162)))</f>
        <v>0</v>
      </c>
      <c r="I163" s="3">
        <f>(((B163/B162)-(C163/C162))*H162)-IF(H163&lt;&gt;H162, Inputs!$B$4, 0)</f>
        <v>0</v>
      </c>
      <c r="J163" s="2">
        <f>J162*(1+I163)</f>
        <v>0</v>
      </c>
      <c r="K163" s="3">
        <f>(B163-B162)/B162</f>
        <v>0</v>
      </c>
      <c r="L163" s="2">
        <f>MAX(J$2:J163)</f>
        <v>0</v>
      </c>
      <c r="M163" s="3">
        <f>(J163-L163)/L163</f>
        <v>0</v>
      </c>
    </row>
    <row r="164" spans="1:13">
      <c r="A164" t="s">
        <v>187</v>
      </c>
      <c r="B164" s="2">
        <v>42.0823</v>
      </c>
      <c r="C164" s="2">
        <v>255.9340395</v>
      </c>
      <c r="D164" s="2">
        <f>B164/C164</f>
        <v>0</v>
      </c>
      <c r="E164" s="2">
        <f>(D164*(2/(Inputs!$B$1+1)))+(E163*(1-(2/(Inputs!$B$1+1))))</f>
        <v>0</v>
      </c>
      <c r="F164" s="2">
        <f>STDEV.S(OFFSET(D164, -(MIN(Inputs!$B$1, ROW()-1)-1), 0, MIN(Inputs!$B$1, ROW()-1), 1))</f>
        <v>0</v>
      </c>
      <c r="G164" s="2">
        <f>IF(F164=0, 0, (D164-E164)/F164)</f>
        <v>0</v>
      </c>
      <c r="H164">
        <f>IF(H163=0, IF(G164&gt;Inputs!$B$2, -1, IF(G164&lt;-Inputs!$B$2, 1, 0)), IF(AND(H163=1, G164&gt;-Inputs!$B$3), 0, IF(AND(H163=-1, G164&lt;Inputs!$B$3), 0, H163)))</f>
        <v>0</v>
      </c>
      <c r="I164" s="3">
        <f>(((B164/B163)-(C164/C163))*H163)-IF(H164&lt;&gt;H163, Inputs!$B$4, 0)</f>
        <v>0</v>
      </c>
      <c r="J164" s="2">
        <f>J163*(1+I164)</f>
        <v>0</v>
      </c>
      <c r="K164" s="3">
        <f>(B164-B163)/B163</f>
        <v>0</v>
      </c>
      <c r="L164" s="2">
        <f>MAX(J$2:J164)</f>
        <v>0</v>
      </c>
      <c r="M164" s="3">
        <f>(J164-L164)/L164</f>
        <v>0</v>
      </c>
    </row>
    <row r="165" spans="1:13">
      <c r="A165" t="s">
        <v>188</v>
      </c>
      <c r="B165" s="2">
        <v>41.7545</v>
      </c>
      <c r="C165" s="2">
        <v>251.941995</v>
      </c>
      <c r="D165" s="2">
        <f>B165/C165</f>
        <v>0</v>
      </c>
      <c r="E165" s="2">
        <f>(D165*(2/(Inputs!$B$1+1)))+(E164*(1-(2/(Inputs!$B$1+1))))</f>
        <v>0</v>
      </c>
      <c r="F165" s="2">
        <f>STDEV.S(OFFSET(D165, -(MIN(Inputs!$B$1, ROW()-1)-1), 0, MIN(Inputs!$B$1, ROW()-1), 1))</f>
        <v>0</v>
      </c>
      <c r="G165" s="2">
        <f>IF(F165=0, 0, (D165-E165)/F165)</f>
        <v>0</v>
      </c>
      <c r="H165">
        <f>IF(H164=0, IF(G165&gt;Inputs!$B$2, -1, IF(G165&lt;-Inputs!$B$2, 1, 0)), IF(AND(H164=1, G165&gt;-Inputs!$B$3), 0, IF(AND(H164=-1, G165&lt;Inputs!$B$3), 0, H164)))</f>
        <v>0</v>
      </c>
      <c r="I165" s="3">
        <f>(((B165/B164)-(C165/C164))*H164)-IF(H165&lt;&gt;H164, Inputs!$B$4, 0)</f>
        <v>0</v>
      </c>
      <c r="J165" s="2">
        <f>J164*(1+I165)</f>
        <v>0</v>
      </c>
      <c r="K165" s="3">
        <f>(B165-B164)/B164</f>
        <v>0</v>
      </c>
      <c r="L165" s="2">
        <f>MAX(J$2:J165)</f>
        <v>0</v>
      </c>
      <c r="M165" s="3">
        <f>(J165-L165)/L165</f>
        <v>0</v>
      </c>
    </row>
    <row r="166" spans="1:13">
      <c r="A166" t="s">
        <v>189</v>
      </c>
      <c r="B166" s="2">
        <v>40.8655</v>
      </c>
      <c r="C166" s="2">
        <v>246.50528</v>
      </c>
      <c r="D166" s="2">
        <f>B166/C166</f>
        <v>0</v>
      </c>
      <c r="E166" s="2">
        <f>(D166*(2/(Inputs!$B$1+1)))+(E165*(1-(2/(Inputs!$B$1+1))))</f>
        <v>0</v>
      </c>
      <c r="F166" s="2">
        <f>STDEV.S(OFFSET(D166, -(MIN(Inputs!$B$1, ROW()-1)-1), 0, MIN(Inputs!$B$1, ROW()-1), 1))</f>
        <v>0</v>
      </c>
      <c r="G166" s="2">
        <f>IF(F166=0, 0, (D166-E166)/F166)</f>
        <v>0</v>
      </c>
      <c r="H166">
        <f>IF(H165=0, IF(G166&gt;Inputs!$B$2, -1, IF(G166&lt;-Inputs!$B$2, 1, 0)), IF(AND(H165=1, G166&gt;-Inputs!$B$3), 0, IF(AND(H165=-1, G166&lt;Inputs!$B$3), 0, H165)))</f>
        <v>0</v>
      </c>
      <c r="I166" s="3">
        <f>(((B166/B165)-(C166/C165))*H165)-IF(H166&lt;&gt;H165, Inputs!$B$4, 0)</f>
        <v>0</v>
      </c>
      <c r="J166" s="2">
        <f>J165*(1+I166)</f>
        <v>0</v>
      </c>
      <c r="K166" s="3">
        <f>(B166-B165)/B165</f>
        <v>0</v>
      </c>
      <c r="L166" s="2">
        <f>MAX(J$2:J166)</f>
        <v>0</v>
      </c>
      <c r="M166" s="3">
        <f>(J166-L166)/L166</f>
        <v>0</v>
      </c>
    </row>
    <row r="167" spans="1:13">
      <c r="A167" t="s">
        <v>190</v>
      </c>
      <c r="B167" s="2">
        <v>42.7032</v>
      </c>
      <c r="C167" s="2">
        <v>258.511359</v>
      </c>
      <c r="D167" s="2">
        <f>B167/C167</f>
        <v>0</v>
      </c>
      <c r="E167" s="2">
        <f>(D167*(2/(Inputs!$B$1+1)))+(E166*(1-(2/(Inputs!$B$1+1))))</f>
        <v>0</v>
      </c>
      <c r="F167" s="2">
        <f>STDEV.S(OFFSET(D167, -(MIN(Inputs!$B$1, ROW()-1)-1), 0, MIN(Inputs!$B$1, ROW()-1), 1))</f>
        <v>0</v>
      </c>
      <c r="G167" s="2">
        <f>IF(F167=0, 0, (D167-E167)/F167)</f>
        <v>0</v>
      </c>
      <c r="H167">
        <f>IF(H166=0, IF(G167&gt;Inputs!$B$2, -1, IF(G167&lt;-Inputs!$B$2, 1, 0)), IF(AND(H166=1, G167&gt;-Inputs!$B$3), 0, IF(AND(H166=-1, G167&lt;Inputs!$B$3), 0, H166)))</f>
        <v>0</v>
      </c>
      <c r="I167" s="3">
        <f>(((B167/B166)-(C167/C166))*H166)-IF(H167&lt;&gt;H166, Inputs!$B$4, 0)</f>
        <v>0</v>
      </c>
      <c r="J167" s="2">
        <f>J166*(1+I167)</f>
        <v>0</v>
      </c>
      <c r="K167" s="3">
        <f>(B167-B166)/B166</f>
        <v>0</v>
      </c>
      <c r="L167" s="2">
        <f>MAX(J$2:J167)</f>
        <v>0</v>
      </c>
      <c r="M167" s="3">
        <f>(J167-L167)/L167</f>
        <v>0</v>
      </c>
    </row>
    <row r="168" spans="1:13">
      <c r="A168" t="s">
        <v>191</v>
      </c>
      <c r="B168" s="2">
        <v>44.1087</v>
      </c>
      <c r="C168" s="2">
        <v>266.3476522</v>
      </c>
      <c r="D168" s="2">
        <f>B168/C168</f>
        <v>0</v>
      </c>
      <c r="E168" s="2">
        <f>(D168*(2/(Inputs!$B$1+1)))+(E167*(1-(2/(Inputs!$B$1+1))))</f>
        <v>0</v>
      </c>
      <c r="F168" s="2">
        <f>STDEV.S(OFFSET(D168, -(MIN(Inputs!$B$1, ROW()-1)-1), 0, MIN(Inputs!$B$1, ROW()-1), 1))</f>
        <v>0</v>
      </c>
      <c r="G168" s="2">
        <f>IF(F168=0, 0, (D168-E168)/F168)</f>
        <v>0</v>
      </c>
      <c r="H168">
        <f>IF(H167=0, IF(G168&gt;Inputs!$B$2, -1, IF(G168&lt;-Inputs!$B$2, 1, 0)), IF(AND(H167=1, G168&gt;-Inputs!$B$3), 0, IF(AND(H167=-1, G168&lt;Inputs!$B$3), 0, H167)))</f>
        <v>0</v>
      </c>
      <c r="I168" s="3">
        <f>(((B168/B167)-(C168/C167))*H167)-IF(H168&lt;&gt;H167, Inputs!$B$4, 0)</f>
        <v>0</v>
      </c>
      <c r="J168" s="2">
        <f>J167*(1+I168)</f>
        <v>0</v>
      </c>
      <c r="K168" s="3">
        <f>(B168-B167)/B167</f>
        <v>0</v>
      </c>
      <c r="L168" s="2">
        <f>MAX(J$2:J168)</f>
        <v>0</v>
      </c>
      <c r="M168" s="3">
        <f>(J168-L168)/L168</f>
        <v>0</v>
      </c>
    </row>
    <row r="169" spans="1:13">
      <c r="A169" t="s">
        <v>192</v>
      </c>
      <c r="B169" s="2">
        <v>45.0126</v>
      </c>
      <c r="C169" s="2">
        <v>273.25942</v>
      </c>
      <c r="D169" s="2">
        <f>B169/C169</f>
        <v>0</v>
      </c>
      <c r="E169" s="2">
        <f>(D169*(2/(Inputs!$B$1+1)))+(E168*(1-(2/(Inputs!$B$1+1))))</f>
        <v>0</v>
      </c>
      <c r="F169" s="2">
        <f>STDEV.S(OFFSET(D169, -(MIN(Inputs!$B$1, ROW()-1)-1), 0, MIN(Inputs!$B$1, ROW()-1), 1))</f>
        <v>0</v>
      </c>
      <c r="G169" s="2">
        <f>IF(F169=0, 0, (D169-E169)/F169)</f>
        <v>0</v>
      </c>
      <c r="H169">
        <f>IF(H168=0, IF(G169&gt;Inputs!$B$2, -1, IF(G169&lt;-Inputs!$B$2, 1, 0)), IF(AND(H168=1, G169&gt;-Inputs!$B$3), 0, IF(AND(H168=-1, G169&lt;Inputs!$B$3), 0, H168)))</f>
        <v>0</v>
      </c>
      <c r="I169" s="3">
        <f>(((B169/B168)-(C169/C168))*H168)-IF(H169&lt;&gt;H168, Inputs!$B$4, 0)</f>
        <v>0</v>
      </c>
      <c r="J169" s="2">
        <f>J168*(1+I169)</f>
        <v>0</v>
      </c>
      <c r="K169" s="3">
        <f>(B169-B168)/B168</f>
        <v>0</v>
      </c>
      <c r="L169" s="2">
        <f>MAX(J$2:J169)</f>
        <v>0</v>
      </c>
      <c r="M169" s="3">
        <f>(J169-L169)/L169</f>
        <v>0</v>
      </c>
    </row>
    <row r="170" spans="1:13">
      <c r="A170" t="s">
        <v>193</v>
      </c>
      <c r="B170" s="2">
        <v>44.6997</v>
      </c>
      <c r="C170" s="2">
        <v>269.556182</v>
      </c>
      <c r="D170" s="2">
        <f>B170/C170</f>
        <v>0</v>
      </c>
      <c r="E170" s="2">
        <f>(D170*(2/(Inputs!$B$1+1)))+(E169*(1-(2/(Inputs!$B$1+1))))</f>
        <v>0</v>
      </c>
      <c r="F170" s="2">
        <f>STDEV.S(OFFSET(D170, -(MIN(Inputs!$B$1, ROW()-1)-1), 0, MIN(Inputs!$B$1, ROW()-1), 1))</f>
        <v>0</v>
      </c>
      <c r="G170" s="2">
        <f>IF(F170=0, 0, (D170-E170)/F170)</f>
        <v>0</v>
      </c>
      <c r="H170">
        <f>IF(H169=0, IF(G170&gt;Inputs!$B$2, -1, IF(G170&lt;-Inputs!$B$2, 1, 0)), IF(AND(H169=1, G170&gt;-Inputs!$B$3), 0, IF(AND(H169=-1, G170&lt;Inputs!$B$3), 0, H169)))</f>
        <v>0</v>
      </c>
      <c r="I170" s="3">
        <f>(((B170/B169)-(C170/C169))*H169)-IF(H170&lt;&gt;H169, Inputs!$B$4, 0)</f>
        <v>0</v>
      </c>
      <c r="J170" s="2">
        <f>J169*(1+I170)</f>
        <v>0</v>
      </c>
      <c r="K170" s="3">
        <f>(B170-B169)/B169</f>
        <v>0</v>
      </c>
      <c r="L170" s="2">
        <f>MAX(J$2:J170)</f>
        <v>0</v>
      </c>
      <c r="M170" s="3">
        <f>(J170-L170)/L170</f>
        <v>0</v>
      </c>
    </row>
    <row r="171" spans="1:13">
      <c r="A171" t="s">
        <v>194</v>
      </c>
      <c r="B171" s="2">
        <v>44.5856</v>
      </c>
      <c r="C171" s="2">
        <v>267.4228473</v>
      </c>
      <c r="D171" s="2">
        <f>B171/C171</f>
        <v>0</v>
      </c>
      <c r="E171" s="2">
        <f>(D171*(2/(Inputs!$B$1+1)))+(E170*(1-(2/(Inputs!$B$1+1))))</f>
        <v>0</v>
      </c>
      <c r="F171" s="2">
        <f>STDEV.S(OFFSET(D171, -(MIN(Inputs!$B$1, ROW()-1)-1), 0, MIN(Inputs!$B$1, ROW()-1), 1))</f>
        <v>0</v>
      </c>
      <c r="G171" s="2">
        <f>IF(F171=0, 0, (D171-E171)/F171)</f>
        <v>0</v>
      </c>
      <c r="H171">
        <f>IF(H170=0, IF(G171&gt;Inputs!$B$2, -1, IF(G171&lt;-Inputs!$B$2, 1, 0)), IF(AND(H170=1, G171&gt;-Inputs!$B$3), 0, IF(AND(H170=-1, G171&lt;Inputs!$B$3), 0, H170)))</f>
        <v>0</v>
      </c>
      <c r="I171" s="3">
        <f>(((B171/B170)-(C171/C170))*H170)-IF(H171&lt;&gt;H170, Inputs!$B$4, 0)</f>
        <v>0</v>
      </c>
      <c r="J171" s="2">
        <f>J170*(1+I171)</f>
        <v>0</v>
      </c>
      <c r="K171" s="3">
        <f>(B171-B170)/B170</f>
        <v>0</v>
      </c>
      <c r="L171" s="2">
        <f>MAX(J$2:J171)</f>
        <v>0</v>
      </c>
      <c r="M171" s="3">
        <f>(J171-L171)/L171</f>
        <v>0</v>
      </c>
    </row>
    <row r="172" spans="1:13">
      <c r="A172" t="s">
        <v>195</v>
      </c>
      <c r="B172" s="2">
        <v>41.9681</v>
      </c>
      <c r="C172" s="2">
        <v>252.6058276</v>
      </c>
      <c r="D172" s="2">
        <f>B172/C172</f>
        <v>0</v>
      </c>
      <c r="E172" s="2">
        <f>(D172*(2/(Inputs!$B$1+1)))+(E171*(1-(2/(Inputs!$B$1+1))))</f>
        <v>0</v>
      </c>
      <c r="F172" s="2">
        <f>STDEV.S(OFFSET(D172, -(MIN(Inputs!$B$1, ROW()-1)-1), 0, MIN(Inputs!$B$1, ROW()-1), 1))</f>
        <v>0</v>
      </c>
      <c r="G172" s="2">
        <f>IF(F172=0, 0, (D172-E172)/F172)</f>
        <v>0</v>
      </c>
      <c r="H172">
        <f>IF(H171=0, IF(G172&gt;Inputs!$B$2, -1, IF(G172&lt;-Inputs!$B$2, 1, 0)), IF(AND(H171=1, G172&gt;-Inputs!$B$3), 0, IF(AND(H171=-1, G172&lt;Inputs!$B$3), 0, H171)))</f>
        <v>0</v>
      </c>
      <c r="I172" s="3">
        <f>(((B172/B171)-(C172/C171))*H171)-IF(H172&lt;&gt;H171, Inputs!$B$4, 0)</f>
        <v>0</v>
      </c>
      <c r="J172" s="2">
        <f>J171*(1+I172)</f>
        <v>0</v>
      </c>
      <c r="K172" s="3">
        <f>(B172-B171)/B171</f>
        <v>0</v>
      </c>
      <c r="L172" s="2">
        <f>MAX(J$2:J172)</f>
        <v>0</v>
      </c>
      <c r="M172" s="3">
        <f>(J172-L172)/L172</f>
        <v>0</v>
      </c>
    </row>
    <row r="173" spans="1:13">
      <c r="A173" t="s">
        <v>196</v>
      </c>
      <c r="B173" s="2">
        <v>39.897</v>
      </c>
      <c r="C173" s="2">
        <v>240.7762422</v>
      </c>
      <c r="D173" s="2">
        <f>B173/C173</f>
        <v>0</v>
      </c>
      <c r="E173" s="2">
        <f>(D173*(2/(Inputs!$B$1+1)))+(E172*(1-(2/(Inputs!$B$1+1))))</f>
        <v>0</v>
      </c>
      <c r="F173" s="2">
        <f>STDEV.S(OFFSET(D173, -(MIN(Inputs!$B$1, ROW()-1)-1), 0, MIN(Inputs!$B$1, ROW()-1), 1))</f>
        <v>0</v>
      </c>
      <c r="G173" s="2">
        <f>IF(F173=0, 0, (D173-E173)/F173)</f>
        <v>0</v>
      </c>
      <c r="H173">
        <f>IF(H172=0, IF(G173&gt;Inputs!$B$2, -1, IF(G173&lt;-Inputs!$B$2, 1, 0)), IF(AND(H172=1, G173&gt;-Inputs!$B$3), 0, IF(AND(H172=-1, G173&lt;Inputs!$B$3), 0, H172)))</f>
        <v>0</v>
      </c>
      <c r="I173" s="3">
        <f>(((B173/B172)-(C173/C172))*H172)-IF(H173&lt;&gt;H172, Inputs!$B$4, 0)</f>
        <v>0</v>
      </c>
      <c r="J173" s="2">
        <f>J172*(1+I173)</f>
        <v>0</v>
      </c>
      <c r="K173" s="3">
        <f>(B173-B172)/B172</f>
        <v>0</v>
      </c>
      <c r="L173" s="2">
        <f>MAX(J$2:J173)</f>
        <v>0</v>
      </c>
      <c r="M173" s="3">
        <f>(J173-L173)/L173</f>
        <v>0</v>
      </c>
    </row>
    <row r="174" spans="1:13">
      <c r="A174" t="s">
        <v>197</v>
      </c>
      <c r="B174" s="2">
        <v>39.0279</v>
      </c>
      <c r="C174" s="2">
        <v>235.835933</v>
      </c>
      <c r="D174" s="2">
        <f>B174/C174</f>
        <v>0</v>
      </c>
      <c r="E174" s="2">
        <f>(D174*(2/(Inputs!$B$1+1)))+(E173*(1-(2/(Inputs!$B$1+1))))</f>
        <v>0</v>
      </c>
      <c r="F174" s="2">
        <f>STDEV.S(OFFSET(D174, -(MIN(Inputs!$B$1, ROW()-1)-1), 0, MIN(Inputs!$B$1, ROW()-1), 1))</f>
        <v>0</v>
      </c>
      <c r="G174" s="2">
        <f>IF(F174=0, 0, (D174-E174)/F174)</f>
        <v>0</v>
      </c>
      <c r="H174">
        <f>IF(H173=0, IF(G174&gt;Inputs!$B$2, -1, IF(G174&lt;-Inputs!$B$2, 1, 0)), IF(AND(H173=1, G174&gt;-Inputs!$B$3), 0, IF(AND(H173=-1, G174&lt;Inputs!$B$3), 0, H173)))</f>
        <v>0</v>
      </c>
      <c r="I174" s="3">
        <f>(((B174/B173)-(C174/C173))*H173)-IF(H174&lt;&gt;H173, Inputs!$B$4, 0)</f>
        <v>0</v>
      </c>
      <c r="J174" s="2">
        <f>J173*(1+I174)</f>
        <v>0</v>
      </c>
      <c r="K174" s="3">
        <f>(B174-B173)/B173</f>
        <v>0</v>
      </c>
      <c r="L174" s="2">
        <f>MAX(J$2:J174)</f>
        <v>0</v>
      </c>
      <c r="M174" s="3">
        <f>(J174-L174)/L174</f>
        <v>0</v>
      </c>
    </row>
    <row r="175" spans="1:13">
      <c r="A175" t="s">
        <v>198</v>
      </c>
      <c r="B175" s="2">
        <v>39.594</v>
      </c>
      <c r="C175" s="2">
        <v>239.8045716</v>
      </c>
      <c r="D175" s="2">
        <f>B175/C175</f>
        <v>0</v>
      </c>
      <c r="E175" s="2">
        <f>(D175*(2/(Inputs!$B$1+1)))+(E174*(1-(2/(Inputs!$B$1+1))))</f>
        <v>0</v>
      </c>
      <c r="F175" s="2">
        <f>STDEV.S(OFFSET(D175, -(MIN(Inputs!$B$1, ROW()-1)-1), 0, MIN(Inputs!$B$1, ROW()-1), 1))</f>
        <v>0</v>
      </c>
      <c r="G175" s="2">
        <f>IF(F175=0, 0, (D175-E175)/F175)</f>
        <v>0</v>
      </c>
      <c r="H175">
        <f>IF(H174=0, IF(G175&gt;Inputs!$B$2, -1, IF(G175&lt;-Inputs!$B$2, 1, 0)), IF(AND(H174=1, G175&gt;-Inputs!$B$3), 0, IF(AND(H174=-1, G175&lt;Inputs!$B$3), 0, H174)))</f>
        <v>0</v>
      </c>
      <c r="I175" s="3">
        <f>(((B175/B174)-(C175/C174))*H174)-IF(H175&lt;&gt;H174, Inputs!$B$4, 0)</f>
        <v>0</v>
      </c>
      <c r="J175" s="2">
        <f>J174*(1+I175)</f>
        <v>0</v>
      </c>
      <c r="K175" s="3">
        <f>(B175-B174)/B174</f>
        <v>0</v>
      </c>
      <c r="L175" s="2">
        <f>MAX(J$2:J175)</f>
        <v>0</v>
      </c>
      <c r="M175" s="3">
        <f>(J175-L175)/L175</f>
        <v>0</v>
      </c>
    </row>
    <row r="176" spans="1:13">
      <c r="A176" t="s">
        <v>199</v>
      </c>
      <c r="B176" s="2">
        <v>35.4915</v>
      </c>
      <c r="C176" s="2">
        <v>215.50446</v>
      </c>
      <c r="D176" s="2">
        <f>B176/C176</f>
        <v>0</v>
      </c>
      <c r="E176" s="2">
        <f>(D176*(2/(Inputs!$B$1+1)))+(E175*(1-(2/(Inputs!$B$1+1))))</f>
        <v>0</v>
      </c>
      <c r="F176" s="2">
        <f>STDEV.S(OFFSET(D176, -(MIN(Inputs!$B$1, ROW()-1)-1), 0, MIN(Inputs!$B$1, ROW()-1), 1))</f>
        <v>0</v>
      </c>
      <c r="G176" s="2">
        <f>IF(F176=0, 0, (D176-E176)/F176)</f>
        <v>0</v>
      </c>
      <c r="H176">
        <f>IF(H175=0, IF(G176&gt;Inputs!$B$2, -1, IF(G176&lt;-Inputs!$B$2, 1, 0)), IF(AND(H175=1, G176&gt;-Inputs!$B$3), 0, IF(AND(H175=-1, G176&lt;Inputs!$B$3), 0, H175)))</f>
        <v>0</v>
      </c>
      <c r="I176" s="3">
        <f>(((B176/B175)-(C176/C175))*H175)-IF(H176&lt;&gt;H175, Inputs!$B$4, 0)</f>
        <v>0</v>
      </c>
      <c r="J176" s="2">
        <f>J175*(1+I176)</f>
        <v>0</v>
      </c>
      <c r="K176" s="3">
        <f>(B176-B175)/B175</f>
        <v>0</v>
      </c>
      <c r="L176" s="2">
        <f>MAX(J$2:J176)</f>
        <v>0</v>
      </c>
      <c r="M176" s="3">
        <f>(J176-L176)/L176</f>
        <v>0</v>
      </c>
    </row>
    <row r="177" spans="1:13">
      <c r="A177" t="s">
        <v>200</v>
      </c>
      <c r="B177" s="2">
        <v>37.9302</v>
      </c>
      <c r="C177" s="2">
        <v>226.9628998</v>
      </c>
      <c r="D177" s="2">
        <f>B177/C177</f>
        <v>0</v>
      </c>
      <c r="E177" s="2">
        <f>(D177*(2/(Inputs!$B$1+1)))+(E176*(1-(2/(Inputs!$B$1+1))))</f>
        <v>0</v>
      </c>
      <c r="F177" s="2">
        <f>STDEV.S(OFFSET(D177, -(MIN(Inputs!$B$1, ROW()-1)-1), 0, MIN(Inputs!$B$1, ROW()-1), 1))</f>
        <v>0</v>
      </c>
      <c r="G177" s="2">
        <f>IF(F177=0, 0, (D177-E177)/F177)</f>
        <v>0</v>
      </c>
      <c r="H177">
        <f>IF(H176=0, IF(G177&gt;Inputs!$B$2, -1, IF(G177&lt;-Inputs!$B$2, 1, 0)), IF(AND(H176=1, G177&gt;-Inputs!$B$3), 0, IF(AND(H176=-1, G177&lt;Inputs!$B$3), 0, H176)))</f>
        <v>0</v>
      </c>
      <c r="I177" s="3">
        <f>(((B177/B176)-(C177/C176))*H176)-IF(H177&lt;&gt;H176, Inputs!$B$4, 0)</f>
        <v>0</v>
      </c>
      <c r="J177" s="2">
        <f>J176*(1+I177)</f>
        <v>0</v>
      </c>
      <c r="K177" s="3">
        <f>(B177-B176)/B176</f>
        <v>0</v>
      </c>
      <c r="L177" s="2">
        <f>MAX(J$2:J177)</f>
        <v>0</v>
      </c>
      <c r="M177" s="3">
        <f>(J177-L177)/L177</f>
        <v>0</v>
      </c>
    </row>
    <row r="178" spans="1:13">
      <c r="A178" t="s">
        <v>201</v>
      </c>
      <c r="B178" s="2">
        <v>34.1506</v>
      </c>
      <c r="C178" s="2">
        <v>206.734125</v>
      </c>
      <c r="D178" s="2">
        <f>B178/C178</f>
        <v>0</v>
      </c>
      <c r="E178" s="2">
        <f>(D178*(2/(Inputs!$B$1+1)))+(E177*(1-(2/(Inputs!$B$1+1))))</f>
        <v>0</v>
      </c>
      <c r="F178" s="2">
        <f>STDEV.S(OFFSET(D178, -(MIN(Inputs!$B$1, ROW()-1)-1), 0, MIN(Inputs!$B$1, ROW()-1), 1))</f>
        <v>0</v>
      </c>
      <c r="G178" s="2">
        <f>IF(F178=0, 0, (D178-E178)/F178)</f>
        <v>0</v>
      </c>
      <c r="H178">
        <f>IF(H177=0, IF(G178&gt;Inputs!$B$2, -1, IF(G178&lt;-Inputs!$B$2, 1, 0)), IF(AND(H177=1, G178&gt;-Inputs!$B$3), 0, IF(AND(H177=-1, G178&lt;Inputs!$B$3), 0, H177)))</f>
        <v>0</v>
      </c>
      <c r="I178" s="3">
        <f>(((B178/B177)-(C178/C177))*H177)-IF(H178&lt;&gt;H177, Inputs!$B$4, 0)</f>
        <v>0</v>
      </c>
      <c r="J178" s="2">
        <f>J177*(1+I178)</f>
        <v>0</v>
      </c>
      <c r="K178" s="3">
        <f>(B178-B177)/B177</f>
        <v>0</v>
      </c>
      <c r="L178" s="2">
        <f>MAX(J$2:J178)</f>
        <v>0</v>
      </c>
      <c r="M178" s="3">
        <f>(J178-L178)/L178</f>
        <v>0</v>
      </c>
    </row>
    <row r="179" spans="1:13">
      <c r="A179" t="s">
        <v>202</v>
      </c>
      <c r="B179" s="2">
        <v>34.543</v>
      </c>
      <c r="C179" s="2">
        <v>208.2518466</v>
      </c>
      <c r="D179" s="2">
        <f>B179/C179</f>
        <v>0</v>
      </c>
      <c r="E179" s="2">
        <f>(D179*(2/(Inputs!$B$1+1)))+(E178*(1-(2/(Inputs!$B$1+1))))</f>
        <v>0</v>
      </c>
      <c r="F179" s="2">
        <f>STDEV.S(OFFSET(D179, -(MIN(Inputs!$B$1, ROW()-1)-1), 0, MIN(Inputs!$B$1, ROW()-1), 1))</f>
        <v>0</v>
      </c>
      <c r="G179" s="2">
        <f>IF(F179=0, 0, (D179-E179)/F179)</f>
        <v>0</v>
      </c>
      <c r="H179">
        <f>IF(H178=0, IF(G179&gt;Inputs!$B$2, -1, IF(G179&lt;-Inputs!$B$2, 1, 0)), IF(AND(H178=1, G179&gt;-Inputs!$B$3), 0, IF(AND(H178=-1, G179&lt;Inputs!$B$3), 0, H178)))</f>
        <v>0</v>
      </c>
      <c r="I179" s="3">
        <f>(((B179/B178)-(C179/C178))*H178)-IF(H179&lt;&gt;H178, Inputs!$B$4, 0)</f>
        <v>0</v>
      </c>
      <c r="J179" s="2">
        <f>J178*(1+I179)</f>
        <v>0</v>
      </c>
      <c r="K179" s="3">
        <f>(B179-B178)/B178</f>
        <v>0</v>
      </c>
      <c r="L179" s="2">
        <f>MAX(J$2:J179)</f>
        <v>0</v>
      </c>
      <c r="M179" s="3">
        <f>(J179-L179)/L179</f>
        <v>0</v>
      </c>
    </row>
    <row r="180" spans="1:13">
      <c r="A180" t="s">
        <v>203</v>
      </c>
      <c r="B180" s="2">
        <v>33.9669</v>
      </c>
      <c r="C180" s="2">
        <v>205.7893188</v>
      </c>
      <c r="D180" s="2">
        <f>B180/C180</f>
        <v>0</v>
      </c>
      <c r="E180" s="2">
        <f>(D180*(2/(Inputs!$B$1+1)))+(E179*(1-(2/(Inputs!$B$1+1))))</f>
        <v>0</v>
      </c>
      <c r="F180" s="2">
        <f>STDEV.S(OFFSET(D180, -(MIN(Inputs!$B$1, ROW()-1)-1), 0, MIN(Inputs!$B$1, ROW()-1), 1))</f>
        <v>0</v>
      </c>
      <c r="G180" s="2">
        <f>IF(F180=0, 0, (D180-E180)/F180)</f>
        <v>0</v>
      </c>
      <c r="H180">
        <f>IF(H179=0, IF(G180&gt;Inputs!$B$2, -1, IF(G180&lt;-Inputs!$B$2, 1, 0)), IF(AND(H179=1, G180&gt;-Inputs!$B$3), 0, IF(AND(H179=-1, G180&lt;Inputs!$B$3), 0, H179)))</f>
        <v>0</v>
      </c>
      <c r="I180" s="3">
        <f>(((B180/B179)-(C180/C179))*H179)-IF(H180&lt;&gt;H179, Inputs!$B$4, 0)</f>
        <v>0</v>
      </c>
      <c r="J180" s="2">
        <f>J179*(1+I180)</f>
        <v>0</v>
      </c>
      <c r="K180" s="3">
        <f>(B180-B179)/B179</f>
        <v>0</v>
      </c>
      <c r="L180" s="2">
        <f>MAX(J$2:J180)</f>
        <v>0</v>
      </c>
      <c r="M180" s="3">
        <f>(J180-L180)/L180</f>
        <v>0</v>
      </c>
    </row>
    <row r="181" spans="1:13">
      <c r="A181" t="s">
        <v>204</v>
      </c>
      <c r="B181" s="2">
        <v>32.5612</v>
      </c>
      <c r="C181" s="2">
        <v>196.9498656</v>
      </c>
      <c r="D181" s="2">
        <f>B181/C181</f>
        <v>0</v>
      </c>
      <c r="E181" s="2">
        <f>(D181*(2/(Inputs!$B$1+1)))+(E180*(1-(2/(Inputs!$B$1+1))))</f>
        <v>0</v>
      </c>
      <c r="F181" s="2">
        <f>STDEV.S(OFFSET(D181, -(MIN(Inputs!$B$1, ROW()-1)-1), 0, MIN(Inputs!$B$1, ROW()-1), 1))</f>
        <v>0</v>
      </c>
      <c r="G181" s="2">
        <f>IF(F181=0, 0, (D181-E181)/F181)</f>
        <v>0</v>
      </c>
      <c r="H181">
        <f>IF(H180=0, IF(G181&gt;Inputs!$B$2, -1, IF(G181&lt;-Inputs!$B$2, 1, 0)), IF(AND(H180=1, G181&gt;-Inputs!$B$3), 0, IF(AND(H180=-1, G181&lt;Inputs!$B$3), 0, H180)))</f>
        <v>0</v>
      </c>
      <c r="I181" s="3">
        <f>(((B181/B180)-(C181/C180))*H180)-IF(H181&lt;&gt;H180, Inputs!$B$4, 0)</f>
        <v>0</v>
      </c>
      <c r="J181" s="2">
        <f>J180*(1+I181)</f>
        <v>0</v>
      </c>
      <c r="K181" s="3">
        <f>(B181-B180)/B180</f>
        <v>0</v>
      </c>
      <c r="L181" s="2">
        <f>MAX(J$2:J181)</f>
        <v>0</v>
      </c>
      <c r="M181" s="3">
        <f>(J181-L181)/L181</f>
        <v>0</v>
      </c>
    </row>
    <row r="182" spans="1:13">
      <c r="A182" t="s">
        <v>205</v>
      </c>
      <c r="B182" s="2">
        <v>31.3246</v>
      </c>
      <c r="C182" s="2">
        <v>188.0055954</v>
      </c>
      <c r="D182" s="2">
        <f>B182/C182</f>
        <v>0</v>
      </c>
      <c r="E182" s="2">
        <f>(D182*(2/(Inputs!$B$1+1)))+(E181*(1-(2/(Inputs!$B$1+1))))</f>
        <v>0</v>
      </c>
      <c r="F182" s="2">
        <f>STDEV.S(OFFSET(D182, -(MIN(Inputs!$B$1, ROW()-1)-1), 0, MIN(Inputs!$B$1, ROW()-1), 1))</f>
        <v>0</v>
      </c>
      <c r="G182" s="2">
        <f>IF(F182=0, 0, (D182-E182)/F182)</f>
        <v>0</v>
      </c>
      <c r="H182">
        <f>IF(H181=0, IF(G182&gt;Inputs!$B$2, -1, IF(G182&lt;-Inputs!$B$2, 1, 0)), IF(AND(H181=1, G182&gt;-Inputs!$B$3), 0, IF(AND(H181=-1, G182&lt;Inputs!$B$3), 0, H181)))</f>
        <v>0</v>
      </c>
      <c r="I182" s="3">
        <f>(((B182/B181)-(C182/C181))*H181)-IF(H182&lt;&gt;H181, Inputs!$B$4, 0)</f>
        <v>0</v>
      </c>
      <c r="J182" s="2">
        <f>J181*(1+I182)</f>
        <v>0</v>
      </c>
      <c r="K182" s="3">
        <f>(B182-B181)/B181</f>
        <v>0</v>
      </c>
      <c r="L182" s="2">
        <f>MAX(J$2:J182)</f>
        <v>0</v>
      </c>
      <c r="M182" s="3">
        <f>(J182-L182)/L182</f>
        <v>0</v>
      </c>
    </row>
    <row r="183" spans="1:13">
      <c r="A183" t="s">
        <v>206</v>
      </c>
      <c r="B183" s="2">
        <v>29.9587</v>
      </c>
      <c r="C183" s="2">
        <v>178.6245685</v>
      </c>
      <c r="D183" s="2">
        <f>B183/C183</f>
        <v>0</v>
      </c>
      <c r="E183" s="2">
        <f>(D183*(2/(Inputs!$B$1+1)))+(E182*(1-(2/(Inputs!$B$1+1))))</f>
        <v>0</v>
      </c>
      <c r="F183" s="2">
        <f>STDEV.S(OFFSET(D183, -(MIN(Inputs!$B$1, ROW()-1)-1), 0, MIN(Inputs!$B$1, ROW()-1), 1))</f>
        <v>0</v>
      </c>
      <c r="G183" s="2">
        <f>IF(F183=0, 0, (D183-E183)/F183)</f>
        <v>0</v>
      </c>
      <c r="H183">
        <f>IF(H182=0, IF(G183&gt;Inputs!$B$2, -1, IF(G183&lt;-Inputs!$B$2, 1, 0)), IF(AND(H182=1, G183&gt;-Inputs!$B$3), 0, IF(AND(H182=-1, G183&lt;Inputs!$B$3), 0, H182)))</f>
        <v>0</v>
      </c>
      <c r="I183" s="3">
        <f>(((B183/B182)-(C183/C182))*H182)-IF(H183&lt;&gt;H182, Inputs!$B$4, 0)</f>
        <v>0</v>
      </c>
      <c r="J183" s="2">
        <f>J182*(1+I183)</f>
        <v>0</v>
      </c>
      <c r="K183" s="3">
        <f>(B183-B182)/B182</f>
        <v>0</v>
      </c>
      <c r="L183" s="2">
        <f>MAX(J$2:J183)</f>
        <v>0</v>
      </c>
      <c r="M183" s="3">
        <f>(J183-L183)/L183</f>
        <v>0</v>
      </c>
    </row>
    <row r="184" spans="1:13">
      <c r="A184" t="s">
        <v>207</v>
      </c>
      <c r="B184" s="2">
        <v>30.4803</v>
      </c>
      <c r="C184" s="2">
        <v>184.0290904</v>
      </c>
      <c r="D184" s="2">
        <f>B184/C184</f>
        <v>0</v>
      </c>
      <c r="E184" s="2">
        <f>(D184*(2/(Inputs!$B$1+1)))+(E183*(1-(2/(Inputs!$B$1+1))))</f>
        <v>0</v>
      </c>
      <c r="F184" s="2">
        <f>STDEV.S(OFFSET(D184, -(MIN(Inputs!$B$1, ROW()-1)-1), 0, MIN(Inputs!$B$1, ROW()-1), 1))</f>
        <v>0</v>
      </c>
      <c r="G184" s="2">
        <f>IF(F184=0, 0, (D184-E184)/F184)</f>
        <v>0</v>
      </c>
      <c r="H184">
        <f>IF(H183=0, IF(G184&gt;Inputs!$B$2, -1, IF(G184&lt;-Inputs!$B$2, 1, 0)), IF(AND(H183=1, G184&gt;-Inputs!$B$3), 0, IF(AND(H183=-1, G184&lt;Inputs!$B$3), 0, H183)))</f>
        <v>0</v>
      </c>
      <c r="I184" s="3">
        <f>(((B184/B183)-(C184/C183))*H183)-IF(H184&lt;&gt;H183, Inputs!$B$4, 0)</f>
        <v>0</v>
      </c>
      <c r="J184" s="2">
        <f>J183*(1+I184)</f>
        <v>0</v>
      </c>
      <c r="K184" s="3">
        <f>(B184-B183)/B183</f>
        <v>0</v>
      </c>
      <c r="L184" s="2">
        <f>MAX(J$2:J184)</f>
        <v>0</v>
      </c>
      <c r="M184" s="3">
        <f>(J184-L184)/L184</f>
        <v>0</v>
      </c>
    </row>
    <row r="185" spans="1:13">
      <c r="A185" t="s">
        <v>208</v>
      </c>
      <c r="B185" s="2">
        <v>29.2337</v>
      </c>
      <c r="C185" s="2">
        <v>180.1389652</v>
      </c>
      <c r="D185" s="2">
        <f>B185/C185</f>
        <v>0</v>
      </c>
      <c r="E185" s="2">
        <f>(D185*(2/(Inputs!$B$1+1)))+(E184*(1-(2/(Inputs!$B$1+1))))</f>
        <v>0</v>
      </c>
      <c r="F185" s="2">
        <f>STDEV.S(OFFSET(D185, -(MIN(Inputs!$B$1, ROW()-1)-1), 0, MIN(Inputs!$B$1, ROW()-1), 1))</f>
        <v>0</v>
      </c>
      <c r="G185" s="2">
        <f>IF(F185=0, 0, (D185-E185)/F185)</f>
        <v>0</v>
      </c>
      <c r="H185">
        <f>IF(H184=0, IF(G185&gt;Inputs!$B$2, -1, IF(G185&lt;-Inputs!$B$2, 1, 0)), IF(AND(H184=1, G185&gt;-Inputs!$B$3), 0, IF(AND(H184=-1, G185&lt;Inputs!$B$3), 0, H184)))</f>
        <v>0</v>
      </c>
      <c r="I185" s="3">
        <f>(((B185/B184)-(C185/C184))*H184)-IF(H185&lt;&gt;H184, Inputs!$B$4, 0)</f>
        <v>0</v>
      </c>
      <c r="J185" s="2">
        <f>J184*(1+I185)</f>
        <v>0</v>
      </c>
      <c r="K185" s="3">
        <f>(B185-B184)/B184</f>
        <v>0</v>
      </c>
      <c r="L185" s="2">
        <f>MAX(J$2:J185)</f>
        <v>0</v>
      </c>
      <c r="M185" s="3">
        <f>(J185-L185)/L185</f>
        <v>0</v>
      </c>
    </row>
    <row r="186" spans="1:13">
      <c r="A186" t="s">
        <v>209</v>
      </c>
      <c r="B186" s="2">
        <v>30.0234</v>
      </c>
      <c r="C186" s="2">
        <v>180.1622277</v>
      </c>
      <c r="D186" s="2">
        <f>B186/C186</f>
        <v>0</v>
      </c>
      <c r="E186" s="2">
        <f>(D186*(2/(Inputs!$B$1+1)))+(E185*(1-(2/(Inputs!$B$1+1))))</f>
        <v>0</v>
      </c>
      <c r="F186" s="2">
        <f>STDEV.S(OFFSET(D186, -(MIN(Inputs!$B$1, ROW()-1)-1), 0, MIN(Inputs!$B$1, ROW()-1), 1))</f>
        <v>0</v>
      </c>
      <c r="G186" s="2">
        <f>IF(F186=0, 0, (D186-E186)/F186)</f>
        <v>0</v>
      </c>
      <c r="H186">
        <f>IF(H185=0, IF(G186&gt;Inputs!$B$2, -1, IF(G186&lt;-Inputs!$B$2, 1, 0)), IF(AND(H185=1, G186&gt;-Inputs!$B$3), 0, IF(AND(H185=-1, G186&lt;Inputs!$B$3), 0, H185)))</f>
        <v>0</v>
      </c>
      <c r="I186" s="3">
        <f>(((B186/B185)-(C186/C185))*H185)-IF(H186&lt;&gt;H185, Inputs!$B$4, 0)</f>
        <v>0</v>
      </c>
      <c r="J186" s="2">
        <f>J185*(1+I186)</f>
        <v>0</v>
      </c>
      <c r="K186" s="3">
        <f>(B186-B185)/B185</f>
        <v>0</v>
      </c>
      <c r="L186" s="2">
        <f>MAX(J$2:J186)</f>
        <v>0</v>
      </c>
      <c r="M186" s="3">
        <f>(J186-L186)/L186</f>
        <v>0</v>
      </c>
    </row>
    <row r="187" spans="1:13">
      <c r="A187" t="s">
        <v>210</v>
      </c>
      <c r="B187" s="2">
        <v>29.621</v>
      </c>
      <c r="C187" s="2">
        <v>179.3173556</v>
      </c>
      <c r="D187" s="2">
        <f>B187/C187</f>
        <v>0</v>
      </c>
      <c r="E187" s="2">
        <f>(D187*(2/(Inputs!$B$1+1)))+(E186*(1-(2/(Inputs!$B$1+1))))</f>
        <v>0</v>
      </c>
      <c r="F187" s="2">
        <f>STDEV.S(OFFSET(D187, -(MIN(Inputs!$B$1, ROW()-1)-1), 0, MIN(Inputs!$B$1, ROW()-1), 1))</f>
        <v>0</v>
      </c>
      <c r="G187" s="2">
        <f>IF(F187=0, 0, (D187-E187)/F187)</f>
        <v>0</v>
      </c>
      <c r="H187">
        <f>IF(H186=0, IF(G187&gt;Inputs!$B$2, -1, IF(G187&lt;-Inputs!$B$2, 1, 0)), IF(AND(H186=1, G187&gt;-Inputs!$B$3), 0, IF(AND(H186=-1, G187&lt;Inputs!$B$3), 0, H186)))</f>
        <v>0</v>
      </c>
      <c r="I187" s="3">
        <f>(((B187/B186)-(C187/C186))*H186)-IF(H187&lt;&gt;H186, Inputs!$B$4, 0)</f>
        <v>0</v>
      </c>
      <c r="J187" s="2">
        <f>J186*(1+I187)</f>
        <v>0</v>
      </c>
      <c r="K187" s="3">
        <f>(B187-B186)/B186</f>
        <v>0</v>
      </c>
      <c r="L187" s="2">
        <f>MAX(J$2:J187)</f>
        <v>0</v>
      </c>
      <c r="M187" s="3">
        <f>(J187-L187)/L187</f>
        <v>0</v>
      </c>
    </row>
    <row r="188" spans="1:13">
      <c r="A188" t="s">
        <v>211</v>
      </c>
      <c r="B188" s="2">
        <v>30.2915</v>
      </c>
      <c r="C188" s="2">
        <v>184.11578</v>
      </c>
      <c r="D188" s="2">
        <f>B188/C188</f>
        <v>0</v>
      </c>
      <c r="E188" s="2">
        <f>(D188*(2/(Inputs!$B$1+1)))+(E187*(1-(2/(Inputs!$B$1+1))))</f>
        <v>0</v>
      </c>
      <c r="F188" s="2">
        <f>STDEV.S(OFFSET(D188, -(MIN(Inputs!$B$1, ROW()-1)-1), 0, MIN(Inputs!$B$1, ROW()-1), 1))</f>
        <v>0</v>
      </c>
      <c r="G188" s="2">
        <f>IF(F188=0, 0, (D188-E188)/F188)</f>
        <v>0</v>
      </c>
      <c r="H188">
        <f>IF(H187=0, IF(G188&gt;Inputs!$B$2, -1, IF(G188&lt;-Inputs!$B$2, 1, 0)), IF(AND(H187=1, G188&gt;-Inputs!$B$3), 0, IF(AND(H187=-1, G188&lt;Inputs!$B$3), 0, H187)))</f>
        <v>0</v>
      </c>
      <c r="I188" s="3">
        <f>(((B188/B187)-(C188/C187))*H187)-IF(H188&lt;&gt;H187, Inputs!$B$4, 0)</f>
        <v>0</v>
      </c>
      <c r="J188" s="2">
        <f>J187*(1+I188)</f>
        <v>0</v>
      </c>
      <c r="K188" s="3">
        <f>(B188-B187)/B187</f>
        <v>0</v>
      </c>
      <c r="L188" s="2">
        <f>MAX(J$2:J188)</f>
        <v>0</v>
      </c>
      <c r="M188" s="3">
        <f>(J188-L188)/L188</f>
        <v>0</v>
      </c>
    </row>
    <row r="189" spans="1:13">
      <c r="A189" t="s">
        <v>212</v>
      </c>
      <c r="B189" s="2">
        <v>30.813</v>
      </c>
      <c r="C189" s="2">
        <v>188.2833544</v>
      </c>
      <c r="D189" s="2">
        <f>B189/C189</f>
        <v>0</v>
      </c>
      <c r="E189" s="2">
        <f>(D189*(2/(Inputs!$B$1+1)))+(E188*(1-(2/(Inputs!$B$1+1))))</f>
        <v>0</v>
      </c>
      <c r="F189" s="2">
        <f>STDEV.S(OFFSET(D189, -(MIN(Inputs!$B$1, ROW()-1)-1), 0, MIN(Inputs!$B$1, ROW()-1), 1))</f>
        <v>0</v>
      </c>
      <c r="G189" s="2">
        <f>IF(F189=0, 0, (D189-E189)/F189)</f>
        <v>0</v>
      </c>
      <c r="H189">
        <f>IF(H188=0, IF(G189&gt;Inputs!$B$2, -1, IF(G189&lt;-Inputs!$B$2, 1, 0)), IF(AND(H188=1, G189&gt;-Inputs!$B$3), 0, IF(AND(H188=-1, G189&lt;Inputs!$B$3), 0, H188)))</f>
        <v>0</v>
      </c>
      <c r="I189" s="3">
        <f>(((B189/B188)-(C189/C188))*H188)-IF(H189&lt;&gt;H188, Inputs!$B$4, 0)</f>
        <v>0</v>
      </c>
      <c r="J189" s="2">
        <f>J188*(1+I189)</f>
        <v>0</v>
      </c>
      <c r="K189" s="3">
        <f>(B189-B188)/B188</f>
        <v>0</v>
      </c>
      <c r="L189" s="2">
        <f>MAX(J$2:J189)</f>
        <v>0</v>
      </c>
      <c r="M189" s="3">
        <f>(J189-L189)/L189</f>
        <v>0</v>
      </c>
    </row>
    <row r="190" spans="1:13">
      <c r="A190" t="s">
        <v>213</v>
      </c>
      <c r="B190" s="2">
        <v>29.8594</v>
      </c>
      <c r="C190" s="2">
        <v>179.82291</v>
      </c>
      <c r="D190" s="2">
        <f>B190/C190</f>
        <v>0</v>
      </c>
      <c r="E190" s="2">
        <f>(D190*(2/(Inputs!$B$1+1)))+(E189*(1-(2/(Inputs!$B$1+1))))</f>
        <v>0</v>
      </c>
      <c r="F190" s="2">
        <f>STDEV.S(OFFSET(D190, -(MIN(Inputs!$B$1, ROW()-1)-1), 0, MIN(Inputs!$B$1, ROW()-1), 1))</f>
        <v>0</v>
      </c>
      <c r="G190" s="2">
        <f>IF(F190=0, 0, (D190-E190)/F190)</f>
        <v>0</v>
      </c>
      <c r="H190">
        <f>IF(H189=0, IF(G190&gt;Inputs!$B$2, -1, IF(G190&lt;-Inputs!$B$2, 1, 0)), IF(AND(H189=1, G190&gt;-Inputs!$B$3), 0, IF(AND(H189=-1, G190&lt;Inputs!$B$3), 0, H189)))</f>
        <v>0</v>
      </c>
      <c r="I190" s="3">
        <f>(((B190/B189)-(C190/C189))*H189)-IF(H190&lt;&gt;H189, Inputs!$B$4, 0)</f>
        <v>0</v>
      </c>
      <c r="J190" s="2">
        <f>J189*(1+I190)</f>
        <v>0</v>
      </c>
      <c r="K190" s="3">
        <f>(B190-B189)/B189</f>
        <v>0</v>
      </c>
      <c r="L190" s="2">
        <f>MAX(J$2:J190)</f>
        <v>0</v>
      </c>
      <c r="M190" s="3">
        <f>(J190-L190)/L190</f>
        <v>0</v>
      </c>
    </row>
    <row r="191" spans="1:13">
      <c r="A191" t="s">
        <v>214</v>
      </c>
      <c r="B191" s="2">
        <v>33.0778</v>
      </c>
      <c r="C191" s="2">
        <v>201.056039</v>
      </c>
      <c r="D191" s="2">
        <f>B191/C191</f>
        <v>0</v>
      </c>
      <c r="E191" s="2">
        <f>(D191*(2/(Inputs!$B$1+1)))+(E190*(1-(2/(Inputs!$B$1+1))))</f>
        <v>0</v>
      </c>
      <c r="F191" s="2">
        <f>STDEV.S(OFFSET(D191, -(MIN(Inputs!$B$1, ROW()-1)-1), 0, MIN(Inputs!$B$1, ROW()-1), 1))</f>
        <v>0</v>
      </c>
      <c r="G191" s="2">
        <f>IF(F191=0, 0, (D191-E191)/F191)</f>
        <v>0</v>
      </c>
      <c r="H191">
        <f>IF(H190=0, IF(G191&gt;Inputs!$B$2, -1, IF(G191&lt;-Inputs!$B$2, 1, 0)), IF(AND(H190=1, G191&gt;-Inputs!$B$3), 0, IF(AND(H190=-1, G191&lt;Inputs!$B$3), 0, H190)))</f>
        <v>0</v>
      </c>
      <c r="I191" s="3">
        <f>(((B191/B190)-(C191/C190))*H190)-IF(H191&lt;&gt;H190, Inputs!$B$4, 0)</f>
        <v>0</v>
      </c>
      <c r="J191" s="2">
        <f>J190*(1+I191)</f>
        <v>0</v>
      </c>
      <c r="K191" s="3">
        <f>(B191-B190)/B190</f>
        <v>0</v>
      </c>
      <c r="L191" s="2">
        <f>MAX(J$2:J191)</f>
        <v>0</v>
      </c>
      <c r="M191" s="3">
        <f>(J191-L191)/L191</f>
        <v>0</v>
      </c>
    </row>
    <row r="192" spans="1:13">
      <c r="A192" t="s">
        <v>215</v>
      </c>
      <c r="B192" s="2">
        <v>32.5924</v>
      </c>
      <c r="C192" s="2">
        <v>196.8203628</v>
      </c>
      <c r="D192" s="2">
        <f>B192/C192</f>
        <v>0</v>
      </c>
      <c r="E192" s="2">
        <f>(D192*(2/(Inputs!$B$1+1)))+(E191*(1-(2/(Inputs!$B$1+1))))</f>
        <v>0</v>
      </c>
      <c r="F192" s="2">
        <f>STDEV.S(OFFSET(D192, -(MIN(Inputs!$B$1, ROW()-1)-1), 0, MIN(Inputs!$B$1, ROW()-1), 1))</f>
        <v>0</v>
      </c>
      <c r="G192" s="2">
        <f>IF(F192=0, 0, (D192-E192)/F192)</f>
        <v>0</v>
      </c>
      <c r="H192">
        <f>IF(H191=0, IF(G192&gt;Inputs!$B$2, -1, IF(G192&lt;-Inputs!$B$2, 1, 0)), IF(AND(H191=1, G192&gt;-Inputs!$B$3), 0, IF(AND(H191=-1, G192&lt;Inputs!$B$3), 0, H191)))</f>
        <v>0</v>
      </c>
      <c r="I192" s="3">
        <f>(((B192/B191)-(C192/C191))*H191)-IF(H192&lt;&gt;H191, Inputs!$B$4, 0)</f>
        <v>0</v>
      </c>
      <c r="J192" s="2">
        <f>J191*(1+I192)</f>
        <v>0</v>
      </c>
      <c r="K192" s="3">
        <f>(B192-B191)/B191</f>
        <v>0</v>
      </c>
      <c r="L192" s="2">
        <f>MAX(J$2:J192)</f>
        <v>0</v>
      </c>
      <c r="M192" s="3">
        <f>(J192-L192)/L192</f>
        <v>0</v>
      </c>
    </row>
    <row r="193" spans="1:13">
      <c r="A193" t="s">
        <v>216</v>
      </c>
      <c r="B193" s="2">
        <v>31.4069</v>
      </c>
      <c r="C193" s="2">
        <v>189.3637395</v>
      </c>
      <c r="D193" s="2">
        <f>B193/C193</f>
        <v>0</v>
      </c>
      <c r="E193" s="2">
        <f>(D193*(2/(Inputs!$B$1+1)))+(E192*(1-(2/(Inputs!$B$1+1))))</f>
        <v>0</v>
      </c>
      <c r="F193" s="2">
        <f>STDEV.S(OFFSET(D193, -(MIN(Inputs!$B$1, ROW()-1)-1), 0, MIN(Inputs!$B$1, ROW()-1), 1))</f>
        <v>0</v>
      </c>
      <c r="G193" s="2">
        <f>IF(F193=0, 0, (D193-E193)/F193)</f>
        <v>0</v>
      </c>
      <c r="H193">
        <f>IF(H192=0, IF(G193&gt;Inputs!$B$2, -1, IF(G193&lt;-Inputs!$B$2, 1, 0)), IF(AND(H192=1, G193&gt;-Inputs!$B$3), 0, IF(AND(H192=-1, G193&lt;Inputs!$B$3), 0, H192)))</f>
        <v>0</v>
      </c>
      <c r="I193" s="3">
        <f>(((B193/B192)-(C193/C192))*H192)-IF(H193&lt;&gt;H192, Inputs!$B$4, 0)</f>
        <v>0</v>
      </c>
      <c r="J193" s="2">
        <f>J192*(1+I193)</f>
        <v>0</v>
      </c>
      <c r="K193" s="3">
        <f>(B193-B192)/B192</f>
        <v>0</v>
      </c>
      <c r="L193" s="2">
        <f>MAX(J$2:J193)</f>
        <v>0</v>
      </c>
      <c r="M193" s="3">
        <f>(J193-L193)/L193</f>
        <v>0</v>
      </c>
    </row>
    <row r="194" spans="1:13">
      <c r="A194" t="s">
        <v>217</v>
      </c>
      <c r="B194" s="2">
        <v>30.3608</v>
      </c>
      <c r="C194" s="2">
        <v>178.460635</v>
      </c>
      <c r="D194" s="2">
        <f>B194/C194</f>
        <v>0</v>
      </c>
      <c r="E194" s="2">
        <f>(D194*(2/(Inputs!$B$1+1)))+(E193*(1-(2/(Inputs!$B$1+1))))</f>
        <v>0</v>
      </c>
      <c r="F194" s="2">
        <f>STDEV.S(OFFSET(D194, -(MIN(Inputs!$B$1, ROW()-1)-1), 0, MIN(Inputs!$B$1, ROW()-1), 1))</f>
        <v>0</v>
      </c>
      <c r="G194" s="2">
        <f>IF(F194=0, 0, (D194-E194)/F194)</f>
        <v>0</v>
      </c>
      <c r="H194">
        <f>IF(H193=0, IF(G194&gt;Inputs!$B$2, -1, IF(G194&lt;-Inputs!$B$2, 1, 0)), IF(AND(H193=1, G194&gt;-Inputs!$B$3), 0, IF(AND(H193=-1, G194&lt;Inputs!$B$3), 0, H193)))</f>
        <v>0</v>
      </c>
      <c r="I194" s="3">
        <f>(((B194/B193)-(C194/C193))*H193)-IF(H194&lt;&gt;H193, Inputs!$B$4, 0)</f>
        <v>0</v>
      </c>
      <c r="J194" s="2">
        <f>J193*(1+I194)</f>
        <v>0</v>
      </c>
      <c r="K194" s="3">
        <f>(B194-B193)/B193</f>
        <v>0</v>
      </c>
      <c r="L194" s="2">
        <f>MAX(J$2:J194)</f>
        <v>0</v>
      </c>
      <c r="M194" s="3">
        <f>(J194-L194)/L194</f>
        <v>0</v>
      </c>
    </row>
    <row r="195" spans="1:13">
      <c r="A195" t="s">
        <v>218</v>
      </c>
      <c r="B195" s="2">
        <v>27.2575</v>
      </c>
      <c r="C195" s="2">
        <v>165.3678775</v>
      </c>
      <c r="D195" s="2">
        <f>B195/C195</f>
        <v>0</v>
      </c>
      <c r="E195" s="2">
        <f>(D195*(2/(Inputs!$B$1+1)))+(E194*(1-(2/(Inputs!$B$1+1))))</f>
        <v>0</v>
      </c>
      <c r="F195" s="2">
        <f>STDEV.S(OFFSET(D195, -(MIN(Inputs!$B$1, ROW()-1)-1), 0, MIN(Inputs!$B$1, ROW()-1), 1))</f>
        <v>0</v>
      </c>
      <c r="G195" s="2">
        <f>IF(F195=0, 0, (D195-E195)/F195)</f>
        <v>0</v>
      </c>
      <c r="H195">
        <f>IF(H194=0, IF(G195&gt;Inputs!$B$2, -1, IF(G195&lt;-Inputs!$B$2, 1, 0)), IF(AND(H194=1, G195&gt;-Inputs!$B$3), 0, IF(AND(H194=-1, G195&lt;Inputs!$B$3), 0, H194)))</f>
        <v>0</v>
      </c>
      <c r="I195" s="3">
        <f>(((B195/B194)-(C195/C194))*H194)-IF(H195&lt;&gt;H194, Inputs!$B$4, 0)</f>
        <v>0</v>
      </c>
      <c r="J195" s="2">
        <f>J194*(1+I195)</f>
        <v>0</v>
      </c>
      <c r="K195" s="3">
        <f>(B195-B194)/B194</f>
        <v>0</v>
      </c>
      <c r="L195" s="2">
        <f>MAX(J$2:J195)</f>
        <v>0</v>
      </c>
      <c r="M195" s="3">
        <f>(J195-L195)/L195</f>
        <v>0</v>
      </c>
    </row>
    <row r="196" spans="1:13">
      <c r="A196" t="s">
        <v>219</v>
      </c>
      <c r="B196" s="2">
        <v>28.2339</v>
      </c>
      <c r="C196" s="2">
        <v>170.9214</v>
      </c>
      <c r="D196" s="2">
        <f>B196/C196</f>
        <v>0</v>
      </c>
      <c r="E196" s="2">
        <f>(D196*(2/(Inputs!$B$1+1)))+(E195*(1-(2/(Inputs!$B$1+1))))</f>
        <v>0</v>
      </c>
      <c r="F196" s="2">
        <f>STDEV.S(OFFSET(D196, -(MIN(Inputs!$B$1, ROW()-1)-1), 0, MIN(Inputs!$B$1, ROW()-1), 1))</f>
        <v>0</v>
      </c>
      <c r="G196" s="2">
        <f>IF(F196=0, 0, (D196-E196)/F196)</f>
        <v>0</v>
      </c>
      <c r="H196">
        <f>IF(H195=0, IF(G196&gt;Inputs!$B$2, -1, IF(G196&lt;-Inputs!$B$2, 1, 0)), IF(AND(H195=1, G196&gt;-Inputs!$B$3), 0, IF(AND(H195=-1, G196&lt;Inputs!$B$3), 0, H195)))</f>
        <v>0</v>
      </c>
      <c r="I196" s="3">
        <f>(((B196/B195)-(C196/C195))*H195)-IF(H196&lt;&gt;H195, Inputs!$B$4, 0)</f>
        <v>0</v>
      </c>
      <c r="J196" s="2">
        <f>J195*(1+I196)</f>
        <v>0</v>
      </c>
      <c r="K196" s="3">
        <f>(B196-B195)/B195</f>
        <v>0</v>
      </c>
      <c r="L196" s="2">
        <f>MAX(J$2:J196)</f>
        <v>0</v>
      </c>
      <c r="M196" s="3">
        <f>(J196-L196)/L196</f>
        <v>0</v>
      </c>
    </row>
    <row r="197" spans="1:13">
      <c r="A197" t="s">
        <v>220</v>
      </c>
      <c r="B197" s="2">
        <v>27.9997</v>
      </c>
      <c r="C197" s="2">
        <v>168.8128392</v>
      </c>
      <c r="D197" s="2">
        <f>B197/C197</f>
        <v>0</v>
      </c>
      <c r="E197" s="2">
        <f>(D197*(2/(Inputs!$B$1+1)))+(E196*(1-(2/(Inputs!$B$1+1))))</f>
        <v>0</v>
      </c>
      <c r="F197" s="2">
        <f>STDEV.S(OFFSET(D197, -(MIN(Inputs!$B$1, ROW()-1)-1), 0, MIN(Inputs!$B$1, ROW()-1), 1))</f>
        <v>0</v>
      </c>
      <c r="G197" s="2">
        <f>IF(F197=0, 0, (D197-E197)/F197)</f>
        <v>0</v>
      </c>
      <c r="H197">
        <f>IF(H196=0, IF(G197&gt;Inputs!$B$2, -1, IF(G197&lt;-Inputs!$B$2, 1, 0)), IF(AND(H196=1, G197&gt;-Inputs!$B$3), 0, IF(AND(H196=-1, G197&lt;Inputs!$B$3), 0, H196)))</f>
        <v>0</v>
      </c>
      <c r="I197" s="3">
        <f>(((B197/B196)-(C197/C196))*H196)-IF(H197&lt;&gt;H196, Inputs!$B$4, 0)</f>
        <v>0</v>
      </c>
      <c r="J197" s="2">
        <f>J196*(1+I197)</f>
        <v>0</v>
      </c>
      <c r="K197" s="3">
        <f>(B197-B196)/B196</f>
        <v>0</v>
      </c>
      <c r="L197" s="2">
        <f>MAX(J$2:J197)</f>
        <v>0</v>
      </c>
      <c r="M197" s="3">
        <f>(J197-L197)/L197</f>
        <v>0</v>
      </c>
    </row>
    <row r="198" spans="1:13">
      <c r="A198" t="s">
        <v>221</v>
      </c>
      <c r="B198" s="2">
        <v>26.1118</v>
      </c>
      <c r="C198" s="2">
        <v>155.3543136</v>
      </c>
      <c r="D198" s="2">
        <f>B198/C198</f>
        <v>0</v>
      </c>
      <c r="E198" s="2">
        <f>(D198*(2/(Inputs!$B$1+1)))+(E197*(1-(2/(Inputs!$B$1+1))))</f>
        <v>0</v>
      </c>
      <c r="F198" s="2">
        <f>STDEV.S(OFFSET(D198, -(MIN(Inputs!$B$1, ROW()-1)-1), 0, MIN(Inputs!$B$1, ROW()-1), 1))</f>
        <v>0</v>
      </c>
      <c r="G198" s="2">
        <f>IF(F198=0, 0, (D198-E198)/F198)</f>
        <v>0</v>
      </c>
      <c r="H198">
        <f>IF(H197=0, IF(G198&gt;Inputs!$B$2, -1, IF(G198&lt;-Inputs!$B$2, 1, 0)), IF(AND(H197=1, G198&gt;-Inputs!$B$3), 0, IF(AND(H197=-1, G198&lt;Inputs!$B$3), 0, H197)))</f>
        <v>0</v>
      </c>
      <c r="I198" s="3">
        <f>(((B198/B197)-(C198/C197))*H197)-IF(H198&lt;&gt;H197, Inputs!$B$4, 0)</f>
        <v>0</v>
      </c>
      <c r="J198" s="2">
        <f>J197*(1+I198)</f>
        <v>0</v>
      </c>
      <c r="K198" s="3">
        <f>(B198-B197)/B197</f>
        <v>0</v>
      </c>
      <c r="L198" s="2">
        <f>MAX(J$2:J198)</f>
        <v>0</v>
      </c>
      <c r="M198" s="3">
        <f>(J198-L198)/L198</f>
        <v>0</v>
      </c>
    </row>
    <row r="199" spans="1:13">
      <c r="A199" t="s">
        <v>222</v>
      </c>
      <c r="B199" s="2">
        <v>22.9088</v>
      </c>
      <c r="C199" s="2">
        <v>137.5266936</v>
      </c>
      <c r="D199" s="2">
        <f>B199/C199</f>
        <v>0</v>
      </c>
      <c r="E199" s="2">
        <f>(D199*(2/(Inputs!$B$1+1)))+(E198*(1-(2/(Inputs!$B$1+1))))</f>
        <v>0</v>
      </c>
      <c r="F199" s="2">
        <f>STDEV.S(OFFSET(D199, -(MIN(Inputs!$B$1, ROW()-1)-1), 0, MIN(Inputs!$B$1, ROW()-1), 1))</f>
        <v>0</v>
      </c>
      <c r="G199" s="2">
        <f>IF(F199=0, 0, (D199-E199)/F199)</f>
        <v>0</v>
      </c>
      <c r="H199">
        <f>IF(H198=0, IF(G199&gt;Inputs!$B$2, -1, IF(G199&lt;-Inputs!$B$2, 1, 0)), IF(AND(H198=1, G199&gt;-Inputs!$B$3), 0, IF(AND(H198=-1, G199&lt;Inputs!$B$3), 0, H198)))</f>
        <v>0</v>
      </c>
      <c r="I199" s="3">
        <f>(((B199/B198)-(C199/C198))*H198)-IF(H199&lt;&gt;H198, Inputs!$B$4, 0)</f>
        <v>0</v>
      </c>
      <c r="J199" s="2">
        <f>J198*(1+I199)</f>
        <v>0</v>
      </c>
      <c r="K199" s="3">
        <f>(B199-B198)/B198</f>
        <v>0</v>
      </c>
      <c r="L199" s="2">
        <f>MAX(J$2:J199)</f>
        <v>0</v>
      </c>
      <c r="M199" s="3">
        <f>(J199-L199)/L199</f>
        <v>0</v>
      </c>
    </row>
    <row r="200" spans="1:13">
      <c r="A200" t="s">
        <v>223</v>
      </c>
      <c r="B200" s="2">
        <v>18.2813</v>
      </c>
      <c r="C200" s="2">
        <v>113.3303328</v>
      </c>
      <c r="D200" s="2">
        <f>B200/C200</f>
        <v>0</v>
      </c>
      <c r="E200" s="2">
        <f>(D200*(2/(Inputs!$B$1+1)))+(E199*(1-(2/(Inputs!$B$1+1))))</f>
        <v>0</v>
      </c>
      <c r="F200" s="2">
        <f>STDEV.S(OFFSET(D200, -(MIN(Inputs!$B$1, ROW()-1)-1), 0, MIN(Inputs!$B$1, ROW()-1), 1))</f>
        <v>0</v>
      </c>
      <c r="G200" s="2">
        <f>IF(F200=0, 0, (D200-E200)/F200)</f>
        <v>0</v>
      </c>
      <c r="H200">
        <f>IF(H199=0, IF(G200&gt;Inputs!$B$2, -1, IF(G200&lt;-Inputs!$B$2, 1, 0)), IF(AND(H199=1, G200&gt;-Inputs!$B$3), 0, IF(AND(H199=-1, G200&lt;Inputs!$B$3), 0, H199)))</f>
        <v>0</v>
      </c>
      <c r="I200" s="3">
        <f>(((B200/B199)-(C200/C199))*H199)-IF(H200&lt;&gt;H199, Inputs!$B$4, 0)</f>
        <v>0</v>
      </c>
      <c r="J200" s="2">
        <f>J199*(1+I200)</f>
        <v>0</v>
      </c>
      <c r="K200" s="3">
        <f>(B200-B199)/B199</f>
        <v>0</v>
      </c>
      <c r="L200" s="2">
        <f>MAX(J$2:J200)</f>
        <v>0</v>
      </c>
      <c r="M200" s="3">
        <f>(J200-L200)/L200</f>
        <v>0</v>
      </c>
    </row>
    <row r="201" spans="1:13">
      <c r="A201" t="s">
        <v>224</v>
      </c>
      <c r="B201" s="2">
        <v>22.605</v>
      </c>
      <c r="C201" s="2">
        <v>133.5871293</v>
      </c>
      <c r="D201" s="2">
        <f>B201/C201</f>
        <v>0</v>
      </c>
      <c r="E201" s="2">
        <f>(D201*(2/(Inputs!$B$1+1)))+(E200*(1-(2/(Inputs!$B$1+1))))</f>
        <v>0</v>
      </c>
      <c r="F201" s="2">
        <f>STDEV.S(OFFSET(D201, -(MIN(Inputs!$B$1, ROW()-1)-1), 0, MIN(Inputs!$B$1, ROW()-1), 1))</f>
        <v>0</v>
      </c>
      <c r="G201" s="2">
        <f>IF(F201=0, 0, (D201-E201)/F201)</f>
        <v>0</v>
      </c>
      <c r="H201">
        <f>IF(H200=0, IF(G201&gt;Inputs!$B$2, -1, IF(G201&lt;-Inputs!$B$2, 1, 0)), IF(AND(H200=1, G201&gt;-Inputs!$B$3), 0, IF(AND(H200=-1, G201&lt;Inputs!$B$3), 0, H200)))</f>
        <v>0</v>
      </c>
      <c r="I201" s="3">
        <f>(((B201/B200)-(C201/C200))*H200)-IF(H201&lt;&gt;H200, Inputs!$B$4, 0)</f>
        <v>0</v>
      </c>
      <c r="J201" s="2">
        <f>J200*(1+I201)</f>
        <v>0</v>
      </c>
      <c r="K201" s="3">
        <f>(B201-B200)/B200</f>
        <v>0</v>
      </c>
      <c r="L201" s="2">
        <f>MAX(J$2:J201)</f>
        <v>0</v>
      </c>
      <c r="M201" s="3">
        <f>(J201-L201)/L201</f>
        <v>0</v>
      </c>
    </row>
    <row r="202" spans="1:13">
      <c r="A202" t="s">
        <v>225</v>
      </c>
      <c r="B202" s="2">
        <v>24.2489</v>
      </c>
      <c r="C202" s="2">
        <v>147.513025</v>
      </c>
      <c r="D202" s="2">
        <f>B202/C202</f>
        <v>0</v>
      </c>
      <c r="E202" s="2">
        <f>(D202*(2/(Inputs!$B$1+1)))+(E201*(1-(2/(Inputs!$B$1+1))))</f>
        <v>0</v>
      </c>
      <c r="F202" s="2">
        <f>STDEV.S(OFFSET(D202, -(MIN(Inputs!$B$1, ROW()-1)-1), 0, MIN(Inputs!$B$1, ROW()-1), 1))</f>
        <v>0</v>
      </c>
      <c r="G202" s="2">
        <f>IF(F202=0, 0, (D202-E202)/F202)</f>
        <v>0</v>
      </c>
      <c r="H202">
        <f>IF(H201=0, IF(G202&gt;Inputs!$B$2, -1, IF(G202&lt;-Inputs!$B$2, 1, 0)), IF(AND(H201=1, G202&gt;-Inputs!$B$3), 0, IF(AND(H201=-1, G202&lt;Inputs!$B$3), 0, H201)))</f>
        <v>0</v>
      </c>
      <c r="I202" s="3">
        <f>(((B202/B201)-(C202/C201))*H201)-IF(H202&lt;&gt;H201, Inputs!$B$4, 0)</f>
        <v>0</v>
      </c>
      <c r="J202" s="2">
        <f>J201*(1+I202)</f>
        <v>0</v>
      </c>
      <c r="K202" s="3">
        <f>(B202-B201)/B201</f>
        <v>0</v>
      </c>
      <c r="L202" s="2">
        <f>MAX(J$2:J202)</f>
        <v>0</v>
      </c>
      <c r="M202" s="3">
        <f>(J202-L202)/L202</f>
        <v>0</v>
      </c>
    </row>
    <row r="203" spans="1:13">
      <c r="A203" t="s">
        <v>226</v>
      </c>
      <c r="B203" s="2">
        <v>22.7644</v>
      </c>
      <c r="C203" s="2">
        <v>138.211436</v>
      </c>
      <c r="D203" s="2">
        <f>B203/C203</f>
        <v>0</v>
      </c>
      <c r="E203" s="2">
        <f>(D203*(2/(Inputs!$B$1+1)))+(E202*(1-(2/(Inputs!$B$1+1))))</f>
        <v>0</v>
      </c>
      <c r="F203" s="2">
        <f>STDEV.S(OFFSET(D203, -(MIN(Inputs!$B$1, ROW()-1)-1), 0, MIN(Inputs!$B$1, ROW()-1), 1))</f>
        <v>0</v>
      </c>
      <c r="G203" s="2">
        <f>IF(F203=0, 0, (D203-E203)/F203)</f>
        <v>0</v>
      </c>
      <c r="H203">
        <f>IF(H202=0, IF(G203&gt;Inputs!$B$2, -1, IF(G203&lt;-Inputs!$B$2, 1, 0)), IF(AND(H202=1, G203&gt;-Inputs!$B$3), 0, IF(AND(H202=-1, G203&lt;Inputs!$B$3), 0, H202)))</f>
        <v>0</v>
      </c>
      <c r="I203" s="3">
        <f>(((B203/B202)-(C203/C202))*H202)-IF(H203&lt;&gt;H202, Inputs!$B$4, 0)</f>
        <v>0</v>
      </c>
      <c r="J203" s="2">
        <f>J202*(1+I203)</f>
        <v>0</v>
      </c>
      <c r="K203" s="3">
        <f>(B203-B202)/B202</f>
        <v>0</v>
      </c>
      <c r="L203" s="2">
        <f>MAX(J$2:J203)</f>
        <v>0</v>
      </c>
      <c r="M203" s="3">
        <f>(J203-L203)/L203</f>
        <v>0</v>
      </c>
    </row>
    <row r="204" spans="1:13">
      <c r="A204" t="s">
        <v>227</v>
      </c>
      <c r="B204" s="2">
        <v>25.8528</v>
      </c>
      <c r="C204" s="2">
        <v>152.096906</v>
      </c>
      <c r="D204" s="2">
        <f>B204/C204</f>
        <v>0</v>
      </c>
      <c r="E204" s="2">
        <f>(D204*(2/(Inputs!$B$1+1)))+(E203*(1-(2/(Inputs!$B$1+1))))</f>
        <v>0</v>
      </c>
      <c r="F204" s="2">
        <f>STDEV.S(OFFSET(D204, -(MIN(Inputs!$B$1, ROW()-1)-1), 0, MIN(Inputs!$B$1, ROW()-1), 1))</f>
        <v>0</v>
      </c>
      <c r="G204" s="2">
        <f>IF(F204=0, 0, (D204-E204)/F204)</f>
        <v>0</v>
      </c>
      <c r="H204">
        <f>IF(H203=0, IF(G204&gt;Inputs!$B$2, -1, IF(G204&lt;-Inputs!$B$2, 1, 0)), IF(AND(H203=1, G204&gt;-Inputs!$B$3), 0, IF(AND(H203=-1, G204&lt;Inputs!$B$3), 0, H203)))</f>
        <v>0</v>
      </c>
      <c r="I204" s="3">
        <f>(((B204/B203)-(C204/C203))*H203)-IF(H204&lt;&gt;H203, Inputs!$B$4, 0)</f>
        <v>0</v>
      </c>
      <c r="J204" s="2">
        <f>J203*(1+I204)</f>
        <v>0</v>
      </c>
      <c r="K204" s="3">
        <f>(B204-B203)/B203</f>
        <v>0</v>
      </c>
      <c r="L204" s="2">
        <f>MAX(J$2:J204)</f>
        <v>0</v>
      </c>
      <c r="M204" s="3">
        <f>(J204-L204)/L204</f>
        <v>0</v>
      </c>
    </row>
    <row r="205" spans="1:13">
      <c r="A205" t="s">
        <v>228</v>
      </c>
      <c r="B205" s="2">
        <v>24.8865</v>
      </c>
      <c r="C205" s="2">
        <v>150.286214</v>
      </c>
      <c r="D205" s="2">
        <f>B205/C205</f>
        <v>0</v>
      </c>
      <c r="E205" s="2">
        <f>(D205*(2/(Inputs!$B$1+1)))+(E204*(1-(2/(Inputs!$B$1+1))))</f>
        <v>0</v>
      </c>
      <c r="F205" s="2">
        <f>STDEV.S(OFFSET(D205, -(MIN(Inputs!$B$1, ROW()-1)-1), 0, MIN(Inputs!$B$1, ROW()-1), 1))</f>
        <v>0</v>
      </c>
      <c r="G205" s="2">
        <f>IF(F205=0, 0, (D205-E205)/F205)</f>
        <v>0</v>
      </c>
      <c r="H205">
        <f>IF(H204=0, IF(G205&gt;Inputs!$B$2, -1, IF(G205&lt;-Inputs!$B$2, 1, 0)), IF(AND(H204=1, G205&gt;-Inputs!$B$3), 0, IF(AND(H204=-1, G205&lt;Inputs!$B$3), 0, H204)))</f>
        <v>0</v>
      </c>
      <c r="I205" s="3">
        <f>(((B205/B204)-(C205/C204))*H204)-IF(H205&lt;&gt;H204, Inputs!$B$4, 0)</f>
        <v>0</v>
      </c>
      <c r="J205" s="2">
        <f>J204*(1+I205)</f>
        <v>0</v>
      </c>
      <c r="K205" s="3">
        <f>(B205-B204)/B204</f>
        <v>0</v>
      </c>
      <c r="L205" s="2">
        <f>MAX(J$2:J205)</f>
        <v>0</v>
      </c>
      <c r="M205" s="3">
        <f>(J205-L205)/L205</f>
        <v>0</v>
      </c>
    </row>
    <row r="206" spans="1:13">
      <c r="A206" t="s">
        <v>229</v>
      </c>
      <c r="B206" s="2">
        <v>23.3272</v>
      </c>
      <c r="C206" s="2">
        <v>141.6289919</v>
      </c>
      <c r="D206" s="2">
        <f>B206/C206</f>
        <v>0</v>
      </c>
      <c r="E206" s="2">
        <f>(D206*(2/(Inputs!$B$1+1)))+(E205*(1-(2/(Inputs!$B$1+1))))</f>
        <v>0</v>
      </c>
      <c r="F206" s="2">
        <f>STDEV.S(OFFSET(D206, -(MIN(Inputs!$B$1, ROW()-1)-1), 0, MIN(Inputs!$B$1, ROW()-1), 1))</f>
        <v>0</v>
      </c>
      <c r="G206" s="2">
        <f>IF(F206=0, 0, (D206-E206)/F206)</f>
        <v>0</v>
      </c>
      <c r="H206">
        <f>IF(H205=0, IF(G206&gt;Inputs!$B$2, -1, IF(G206&lt;-Inputs!$B$2, 1, 0)), IF(AND(H205=1, G206&gt;-Inputs!$B$3), 0, IF(AND(H205=-1, G206&lt;Inputs!$B$3), 0, H205)))</f>
        <v>0</v>
      </c>
      <c r="I206" s="3">
        <f>(((B206/B205)-(C206/C205))*H205)-IF(H206&lt;&gt;H205, Inputs!$B$4, 0)</f>
        <v>0</v>
      </c>
      <c r="J206" s="2">
        <f>J205*(1+I206)</f>
        <v>0</v>
      </c>
      <c r="K206" s="3">
        <f>(B206-B205)/B205</f>
        <v>0</v>
      </c>
      <c r="L206" s="2">
        <f>MAX(J$2:J206)</f>
        <v>0</v>
      </c>
      <c r="M206" s="3">
        <f>(J206-L206)/L206</f>
        <v>0</v>
      </c>
    </row>
    <row r="207" spans="1:13">
      <c r="A207" t="s">
        <v>230</v>
      </c>
      <c r="B207" s="2">
        <v>22.9637</v>
      </c>
      <c r="C207" s="2">
        <v>138.34044</v>
      </c>
      <c r="D207" s="2">
        <f>B207/C207</f>
        <v>0</v>
      </c>
      <c r="E207" s="2">
        <f>(D207*(2/(Inputs!$B$1+1)))+(E206*(1-(2/(Inputs!$B$1+1))))</f>
        <v>0</v>
      </c>
      <c r="F207" s="2">
        <f>STDEV.S(OFFSET(D207, -(MIN(Inputs!$B$1, ROW()-1)-1), 0, MIN(Inputs!$B$1, ROW()-1), 1))</f>
        <v>0</v>
      </c>
      <c r="G207" s="2">
        <f>IF(F207=0, 0, (D207-E207)/F207)</f>
        <v>0</v>
      </c>
      <c r="H207">
        <f>IF(H206=0, IF(G207&gt;Inputs!$B$2, -1, IF(G207&lt;-Inputs!$B$2, 1, 0)), IF(AND(H206=1, G207&gt;-Inputs!$B$3), 0, IF(AND(H206=-1, G207&lt;Inputs!$B$3), 0, H206)))</f>
        <v>0</v>
      </c>
      <c r="I207" s="3">
        <f>(((B207/B206)-(C207/C206))*H206)-IF(H207&lt;&gt;H206, Inputs!$B$4, 0)</f>
        <v>0</v>
      </c>
      <c r="J207" s="2">
        <f>J206*(1+I207)</f>
        <v>0</v>
      </c>
      <c r="K207" s="3">
        <f>(B207-B206)/B206</f>
        <v>0</v>
      </c>
      <c r="L207" s="2">
        <f>MAX(J$2:J207)</f>
        <v>0</v>
      </c>
      <c r="M207" s="3">
        <f>(J207-L207)/L207</f>
        <v>0</v>
      </c>
    </row>
    <row r="208" spans="1:13">
      <c r="A208" t="s">
        <v>231</v>
      </c>
      <c r="B208" s="2">
        <v>21.6486</v>
      </c>
      <c r="C208" s="2">
        <v>129.6529728</v>
      </c>
      <c r="D208" s="2">
        <f>B208/C208</f>
        <v>0</v>
      </c>
      <c r="E208" s="2">
        <f>(D208*(2/(Inputs!$B$1+1)))+(E207*(1-(2/(Inputs!$B$1+1))))</f>
        <v>0</v>
      </c>
      <c r="F208" s="2">
        <f>STDEV.S(OFFSET(D208, -(MIN(Inputs!$B$1, ROW()-1)-1), 0, MIN(Inputs!$B$1, ROW()-1), 1))</f>
        <v>0</v>
      </c>
      <c r="G208" s="2">
        <f>IF(F208=0, 0, (D208-E208)/F208)</f>
        <v>0</v>
      </c>
      <c r="H208">
        <f>IF(H207=0, IF(G208&gt;Inputs!$B$2, -1, IF(G208&lt;-Inputs!$B$2, 1, 0)), IF(AND(H207=1, G208&gt;-Inputs!$B$3), 0, IF(AND(H207=-1, G208&lt;Inputs!$B$3), 0, H207)))</f>
        <v>0</v>
      </c>
      <c r="I208" s="3">
        <f>(((B208/B207)-(C208/C207))*H207)-IF(H208&lt;&gt;H207, Inputs!$B$4, 0)</f>
        <v>0</v>
      </c>
      <c r="J208" s="2">
        <f>J207*(1+I208)</f>
        <v>0</v>
      </c>
      <c r="K208" s="3">
        <f>(B208-B207)/B207</f>
        <v>0</v>
      </c>
      <c r="L208" s="2">
        <f>MAX(J$2:J208)</f>
        <v>0</v>
      </c>
      <c r="M208" s="3">
        <f>(J208-L208)/L208</f>
        <v>0</v>
      </c>
    </row>
    <row r="209" spans="1:13">
      <c r="A209" t="s">
        <v>232</v>
      </c>
      <c r="B209" s="2">
        <v>24.5228</v>
      </c>
      <c r="C209" s="2">
        <v>146.8462406</v>
      </c>
      <c r="D209" s="2">
        <f>B209/C209</f>
        <v>0</v>
      </c>
      <c r="E209" s="2">
        <f>(D209*(2/(Inputs!$B$1+1)))+(E208*(1-(2/(Inputs!$B$1+1))))</f>
        <v>0</v>
      </c>
      <c r="F209" s="2">
        <f>STDEV.S(OFFSET(D209, -(MIN(Inputs!$B$1, ROW()-1)-1), 0, MIN(Inputs!$B$1, ROW()-1), 1))</f>
        <v>0</v>
      </c>
      <c r="G209" s="2">
        <f>IF(F209=0, 0, (D209-E209)/F209)</f>
        <v>0</v>
      </c>
      <c r="H209">
        <f>IF(H208=0, IF(G209&gt;Inputs!$B$2, -1, IF(G209&lt;-Inputs!$B$2, 1, 0)), IF(AND(H208=1, G209&gt;-Inputs!$B$3), 0, IF(AND(H208=-1, G209&lt;Inputs!$B$3), 0, H208)))</f>
        <v>0</v>
      </c>
      <c r="I209" s="3">
        <f>(((B209/B208)-(C209/C208))*H208)-IF(H209&lt;&gt;H208, Inputs!$B$4, 0)</f>
        <v>0</v>
      </c>
      <c r="J209" s="2">
        <f>J208*(1+I209)</f>
        <v>0</v>
      </c>
      <c r="K209" s="3">
        <f>(B209-B208)/B208</f>
        <v>0</v>
      </c>
      <c r="L209" s="2">
        <f>MAX(J$2:J209)</f>
        <v>0</v>
      </c>
      <c r="M209" s="3">
        <f>(J209-L209)/L209</f>
        <v>0</v>
      </c>
    </row>
    <row r="210" spans="1:13">
      <c r="A210" t="s">
        <v>233</v>
      </c>
      <c r="B210" s="2">
        <v>24.2787</v>
      </c>
      <c r="C210" s="2">
        <v>145.8686354</v>
      </c>
      <c r="D210" s="2">
        <f>B210/C210</f>
        <v>0</v>
      </c>
      <c r="E210" s="2">
        <f>(D210*(2/(Inputs!$B$1+1)))+(E209*(1-(2/(Inputs!$B$1+1))))</f>
        <v>0</v>
      </c>
      <c r="F210" s="2">
        <f>STDEV.S(OFFSET(D210, -(MIN(Inputs!$B$1, ROW()-1)-1), 0, MIN(Inputs!$B$1, ROW()-1), 1))</f>
        <v>0</v>
      </c>
      <c r="G210" s="2">
        <f>IF(F210=0, 0, (D210-E210)/F210)</f>
        <v>0</v>
      </c>
      <c r="H210">
        <f>IF(H209=0, IF(G210&gt;Inputs!$B$2, -1, IF(G210&lt;-Inputs!$B$2, 1, 0)), IF(AND(H209=1, G210&gt;-Inputs!$B$3), 0, IF(AND(H209=-1, G210&lt;Inputs!$B$3), 0, H209)))</f>
        <v>0</v>
      </c>
      <c r="I210" s="3">
        <f>(((B210/B209)-(C210/C209))*H209)-IF(H210&lt;&gt;H209, Inputs!$B$4, 0)</f>
        <v>0</v>
      </c>
      <c r="J210" s="2">
        <f>J209*(1+I210)</f>
        <v>0</v>
      </c>
      <c r="K210" s="3">
        <f>(B210-B209)/B209</f>
        <v>0</v>
      </c>
      <c r="L210" s="2">
        <f>MAX(J$2:J210)</f>
        <v>0</v>
      </c>
      <c r="M210" s="3">
        <f>(J210-L210)/L210</f>
        <v>0</v>
      </c>
    </row>
    <row r="211" spans="1:13">
      <c r="A211" t="s">
        <v>234</v>
      </c>
      <c r="B211" s="2">
        <v>25.9226</v>
      </c>
      <c r="C211" s="2">
        <v>155.1231819</v>
      </c>
      <c r="D211" s="2">
        <f>B211/C211</f>
        <v>0</v>
      </c>
      <c r="E211" s="2">
        <f>(D211*(2/(Inputs!$B$1+1)))+(E210*(1-(2/(Inputs!$B$1+1))))</f>
        <v>0</v>
      </c>
      <c r="F211" s="2">
        <f>STDEV.S(OFFSET(D211, -(MIN(Inputs!$B$1, ROW()-1)-1), 0, MIN(Inputs!$B$1, ROW()-1), 1))</f>
        <v>0</v>
      </c>
      <c r="G211" s="2">
        <f>IF(F211=0, 0, (D211-E211)/F211)</f>
        <v>0</v>
      </c>
      <c r="H211">
        <f>IF(H210=0, IF(G211&gt;Inputs!$B$2, -1, IF(G211&lt;-Inputs!$B$2, 1, 0)), IF(AND(H210=1, G211&gt;-Inputs!$B$3), 0, IF(AND(H210=-1, G211&lt;Inputs!$B$3), 0, H210)))</f>
        <v>0</v>
      </c>
      <c r="I211" s="3">
        <f>(((B211/B210)-(C211/C210))*H210)-IF(H211&lt;&gt;H210, Inputs!$B$4, 0)</f>
        <v>0</v>
      </c>
      <c r="J211" s="2">
        <f>J210*(1+I211)</f>
        <v>0</v>
      </c>
      <c r="K211" s="3">
        <f>(B211-B210)/B210</f>
        <v>0</v>
      </c>
      <c r="L211" s="2">
        <f>MAX(J$2:J211)</f>
        <v>0</v>
      </c>
      <c r="M211" s="3">
        <f>(J211-L211)/L211</f>
        <v>0</v>
      </c>
    </row>
    <row r="212" spans="1:13">
      <c r="A212" t="s">
        <v>235</v>
      </c>
      <c r="B212" s="2">
        <v>26.9088</v>
      </c>
      <c r="C212" s="2">
        <v>161.6589416</v>
      </c>
      <c r="D212" s="2">
        <f>B212/C212</f>
        <v>0</v>
      </c>
      <c r="E212" s="2">
        <f>(D212*(2/(Inputs!$B$1+1)))+(E211*(1-(2/(Inputs!$B$1+1))))</f>
        <v>0</v>
      </c>
      <c r="F212" s="2">
        <f>STDEV.S(OFFSET(D212, -(MIN(Inputs!$B$1, ROW()-1)-1), 0, MIN(Inputs!$B$1, ROW()-1), 1))</f>
        <v>0</v>
      </c>
      <c r="G212" s="2">
        <f>IF(F212=0, 0, (D212-E212)/F212)</f>
        <v>0</v>
      </c>
      <c r="H212">
        <f>IF(H211=0, IF(G212&gt;Inputs!$B$2, -1, IF(G212&lt;-Inputs!$B$2, 1, 0)), IF(AND(H211=1, G212&gt;-Inputs!$B$3), 0, IF(AND(H211=-1, G212&lt;Inputs!$B$3), 0, H211)))</f>
        <v>0</v>
      </c>
      <c r="I212" s="3">
        <f>(((B212/B211)-(C212/C211))*H211)-IF(H212&lt;&gt;H211, Inputs!$B$4, 0)</f>
        <v>0</v>
      </c>
      <c r="J212" s="2">
        <f>J211*(1+I212)</f>
        <v>0</v>
      </c>
      <c r="K212" s="3">
        <f>(B212-B211)/B211</f>
        <v>0</v>
      </c>
      <c r="L212" s="2">
        <f>MAX(J$2:J212)</f>
        <v>0</v>
      </c>
      <c r="M212" s="3">
        <f>(J212-L212)/L212</f>
        <v>0</v>
      </c>
    </row>
    <row r="213" spans="1:13">
      <c r="A213" t="s">
        <v>236</v>
      </c>
      <c r="B213" s="2">
        <v>26.4207</v>
      </c>
      <c r="C213" s="2">
        <v>158.0554191</v>
      </c>
      <c r="D213" s="2">
        <f>B213/C213</f>
        <v>0</v>
      </c>
      <c r="E213" s="2">
        <f>(D213*(2/(Inputs!$B$1+1)))+(E212*(1-(2/(Inputs!$B$1+1))))</f>
        <v>0</v>
      </c>
      <c r="F213" s="2">
        <f>STDEV.S(OFFSET(D213, -(MIN(Inputs!$B$1, ROW()-1)-1), 0, MIN(Inputs!$B$1, ROW()-1), 1))</f>
        <v>0</v>
      </c>
      <c r="G213" s="2">
        <f>IF(F213=0, 0, (D213-E213)/F213)</f>
        <v>0</v>
      </c>
      <c r="H213">
        <f>IF(H212=0, IF(G213&gt;Inputs!$B$2, -1, IF(G213&lt;-Inputs!$B$2, 1, 0)), IF(AND(H212=1, G213&gt;-Inputs!$B$3), 0, IF(AND(H212=-1, G213&lt;Inputs!$B$3), 0, H212)))</f>
        <v>0</v>
      </c>
      <c r="I213" s="3">
        <f>(((B213/B212)-(C213/C212))*H212)-IF(H213&lt;&gt;H212, Inputs!$B$4, 0)</f>
        <v>0</v>
      </c>
      <c r="J213" s="2">
        <f>J212*(1+I213)</f>
        <v>0</v>
      </c>
      <c r="K213" s="3">
        <f>(B213-B212)/B212</f>
        <v>0</v>
      </c>
      <c r="L213" s="2">
        <f>MAX(J$2:J213)</f>
        <v>0</v>
      </c>
      <c r="M213" s="3">
        <f>(J213-L213)/L213</f>
        <v>0</v>
      </c>
    </row>
    <row r="214" spans="1:13">
      <c r="A214" t="s">
        <v>237</v>
      </c>
      <c r="B214" s="2">
        <v>25.8827</v>
      </c>
      <c r="C214" s="2">
        <v>154.361836</v>
      </c>
      <c r="D214" s="2">
        <f>B214/C214</f>
        <v>0</v>
      </c>
      <c r="E214" s="2">
        <f>(D214*(2/(Inputs!$B$1+1)))+(E213*(1-(2/(Inputs!$B$1+1))))</f>
        <v>0</v>
      </c>
      <c r="F214" s="2">
        <f>STDEV.S(OFFSET(D214, -(MIN(Inputs!$B$1, ROW()-1)-1), 0, MIN(Inputs!$B$1, ROW()-1), 1))</f>
        <v>0</v>
      </c>
      <c r="G214" s="2">
        <f>IF(F214=0, 0, (D214-E214)/F214)</f>
        <v>0</v>
      </c>
      <c r="H214">
        <f>IF(H213=0, IF(G214&gt;Inputs!$B$2, -1, IF(G214&lt;-Inputs!$B$2, 1, 0)), IF(AND(H213=1, G214&gt;-Inputs!$B$3), 0, IF(AND(H213=-1, G214&lt;Inputs!$B$3), 0, H213)))</f>
        <v>0</v>
      </c>
      <c r="I214" s="3">
        <f>(((B214/B213)-(C214/C213))*H213)-IF(H214&lt;&gt;H213, Inputs!$B$4, 0)</f>
        <v>0</v>
      </c>
      <c r="J214" s="2">
        <f>J213*(1+I214)</f>
        <v>0</v>
      </c>
      <c r="K214" s="3">
        <f>(B214-B213)/B213</f>
        <v>0</v>
      </c>
      <c r="L214" s="2">
        <f>MAX(J$2:J214)</f>
        <v>0</v>
      </c>
      <c r="M214" s="3">
        <f>(J214-L214)/L214</f>
        <v>0</v>
      </c>
    </row>
    <row r="215" spans="1:13">
      <c r="A215" t="s">
        <v>238</v>
      </c>
      <c r="B215" s="2">
        <v>28.6721</v>
      </c>
      <c r="C215" s="2">
        <v>172.0242364</v>
      </c>
      <c r="D215" s="2">
        <f>B215/C215</f>
        <v>0</v>
      </c>
      <c r="E215" s="2">
        <f>(D215*(2/(Inputs!$B$1+1)))+(E214*(1-(2/(Inputs!$B$1+1))))</f>
        <v>0</v>
      </c>
      <c r="F215" s="2">
        <f>STDEV.S(OFFSET(D215, -(MIN(Inputs!$B$1, ROW()-1)-1), 0, MIN(Inputs!$B$1, ROW()-1), 1))</f>
        <v>0</v>
      </c>
      <c r="G215" s="2">
        <f>IF(F215=0, 0, (D215-E215)/F215)</f>
        <v>0</v>
      </c>
      <c r="H215">
        <f>IF(H214=0, IF(G215&gt;Inputs!$B$2, -1, IF(G215&lt;-Inputs!$B$2, 1, 0)), IF(AND(H214=1, G215&gt;-Inputs!$B$3), 0, IF(AND(H214=-1, G215&lt;Inputs!$B$3), 0, H214)))</f>
        <v>0</v>
      </c>
      <c r="I215" s="3">
        <f>(((B215/B214)-(C215/C214))*H214)-IF(H215&lt;&gt;H214, Inputs!$B$4, 0)</f>
        <v>0</v>
      </c>
      <c r="J215" s="2">
        <f>J214*(1+I215)</f>
        <v>0</v>
      </c>
      <c r="K215" s="3">
        <f>(B215-B214)/B214</f>
        <v>0</v>
      </c>
      <c r="L215" s="2">
        <f>MAX(J$2:J215)</f>
        <v>0</v>
      </c>
      <c r="M215" s="3">
        <f>(J215-L215)/L215</f>
        <v>0</v>
      </c>
    </row>
    <row r="216" spans="1:13">
      <c r="A216" t="s">
        <v>239</v>
      </c>
      <c r="B216" s="2">
        <v>29.2101</v>
      </c>
      <c r="C216" s="2">
        <v>176.3064415</v>
      </c>
      <c r="D216" s="2">
        <f>B216/C216</f>
        <v>0</v>
      </c>
      <c r="E216" s="2">
        <f>(D216*(2/(Inputs!$B$1+1)))+(E215*(1-(2/(Inputs!$B$1+1))))</f>
        <v>0</v>
      </c>
      <c r="F216" s="2">
        <f>STDEV.S(OFFSET(D216, -(MIN(Inputs!$B$1, ROW()-1)-1), 0, MIN(Inputs!$B$1, ROW()-1), 1))</f>
        <v>0</v>
      </c>
      <c r="G216" s="2">
        <f>IF(F216=0, 0, (D216-E216)/F216)</f>
        <v>0</v>
      </c>
      <c r="H216">
        <f>IF(H215=0, IF(G216&gt;Inputs!$B$2, -1, IF(G216&lt;-Inputs!$B$2, 1, 0)), IF(AND(H215=1, G216&gt;-Inputs!$B$3), 0, IF(AND(H215=-1, G216&lt;Inputs!$B$3), 0, H215)))</f>
        <v>0</v>
      </c>
      <c r="I216" s="3">
        <f>(((B216/B215)-(C216/C215))*H215)-IF(H216&lt;&gt;H215, Inputs!$B$4, 0)</f>
        <v>0</v>
      </c>
      <c r="J216" s="2">
        <f>J215*(1+I216)</f>
        <v>0</v>
      </c>
      <c r="K216" s="3">
        <f>(B216-B215)/B215</f>
        <v>0</v>
      </c>
      <c r="L216" s="2">
        <f>MAX(J$2:J216)</f>
        <v>0</v>
      </c>
      <c r="M216" s="3">
        <f>(J216-L216)/L216</f>
        <v>0</v>
      </c>
    </row>
    <row r="217" spans="1:13">
      <c r="A217" t="s">
        <v>240</v>
      </c>
      <c r="B217" s="2">
        <v>27.925</v>
      </c>
      <c r="C217" s="2">
        <v>168.8507464</v>
      </c>
      <c r="D217" s="2">
        <f>B217/C217</f>
        <v>0</v>
      </c>
      <c r="E217" s="2">
        <f>(D217*(2/(Inputs!$B$1+1)))+(E216*(1-(2/(Inputs!$B$1+1))))</f>
        <v>0</v>
      </c>
      <c r="F217" s="2">
        <f>STDEV.S(OFFSET(D217, -(MIN(Inputs!$B$1, ROW()-1)-1), 0, MIN(Inputs!$B$1, ROW()-1), 1))</f>
        <v>0</v>
      </c>
      <c r="G217" s="2">
        <f>IF(F217=0, 0, (D217-E217)/F217)</f>
        <v>0</v>
      </c>
      <c r="H217">
        <f>IF(H216=0, IF(G217&gt;Inputs!$B$2, -1, IF(G217&lt;-Inputs!$B$2, 1, 0)), IF(AND(H216=1, G217&gt;-Inputs!$B$3), 0, IF(AND(H216=-1, G217&lt;Inputs!$B$3), 0, H216)))</f>
        <v>0</v>
      </c>
      <c r="I217" s="3">
        <f>(((B217/B216)-(C217/C216))*H216)-IF(H217&lt;&gt;H216, Inputs!$B$4, 0)</f>
        <v>0</v>
      </c>
      <c r="J217" s="2">
        <f>J216*(1+I217)</f>
        <v>0</v>
      </c>
      <c r="K217" s="3">
        <f>(B217-B216)/B216</f>
        <v>0</v>
      </c>
      <c r="L217" s="2">
        <f>MAX(J$2:J217)</f>
        <v>0</v>
      </c>
      <c r="M217" s="3">
        <f>(J217-L217)/L217</f>
        <v>0</v>
      </c>
    </row>
    <row r="218" spans="1:13">
      <c r="A218" t="s">
        <v>241</v>
      </c>
      <c r="B218" s="2">
        <v>28.3733</v>
      </c>
      <c r="C218" s="2">
        <v>171.311472</v>
      </c>
      <c r="D218" s="2">
        <f>B218/C218</f>
        <v>0</v>
      </c>
      <c r="E218" s="2">
        <f>(D218*(2/(Inputs!$B$1+1)))+(E217*(1-(2/(Inputs!$B$1+1))))</f>
        <v>0</v>
      </c>
      <c r="F218" s="2">
        <f>STDEV.S(OFFSET(D218, -(MIN(Inputs!$B$1, ROW()-1)-1), 0, MIN(Inputs!$B$1, ROW()-1), 1))</f>
        <v>0</v>
      </c>
      <c r="G218" s="2">
        <f>IF(F218=0, 0, (D218-E218)/F218)</f>
        <v>0</v>
      </c>
      <c r="H218">
        <f>IF(H217=0, IF(G218&gt;Inputs!$B$2, -1, IF(G218&lt;-Inputs!$B$2, 1, 0)), IF(AND(H217=1, G218&gt;-Inputs!$B$3), 0, IF(AND(H217=-1, G218&lt;Inputs!$B$3), 0, H217)))</f>
        <v>0</v>
      </c>
      <c r="I218" s="3">
        <f>(((B218/B217)-(C218/C217))*H217)-IF(H218&lt;&gt;H217, Inputs!$B$4, 0)</f>
        <v>0</v>
      </c>
      <c r="J218" s="2">
        <f>J217*(1+I218)</f>
        <v>0</v>
      </c>
      <c r="K218" s="3">
        <f>(B218-B217)/B217</f>
        <v>0</v>
      </c>
      <c r="L218" s="2">
        <f>MAX(J$2:J218)</f>
        <v>0</v>
      </c>
      <c r="M218" s="3">
        <f>(J218-L218)/L218</f>
        <v>0</v>
      </c>
    </row>
    <row r="219" spans="1:13">
      <c r="A219" t="s">
        <v>242</v>
      </c>
      <c r="B219" s="2">
        <v>29.4892</v>
      </c>
      <c r="C219" s="2">
        <v>175.946061</v>
      </c>
      <c r="D219" s="2">
        <f>B219/C219</f>
        <v>0</v>
      </c>
      <c r="E219" s="2">
        <f>(D219*(2/(Inputs!$B$1+1)))+(E218*(1-(2/(Inputs!$B$1+1))))</f>
        <v>0</v>
      </c>
      <c r="F219" s="2">
        <f>STDEV.S(OFFSET(D219, -(MIN(Inputs!$B$1, ROW()-1)-1), 0, MIN(Inputs!$B$1, ROW()-1), 1))</f>
        <v>0</v>
      </c>
      <c r="G219" s="2">
        <f>IF(F219=0, 0, (D219-E219)/F219)</f>
        <v>0</v>
      </c>
      <c r="H219">
        <f>IF(H218=0, IF(G219&gt;Inputs!$B$2, -1, IF(G219&lt;-Inputs!$B$2, 1, 0)), IF(AND(H218=1, G219&gt;-Inputs!$B$3), 0, IF(AND(H218=-1, G219&lt;Inputs!$B$3), 0, H218)))</f>
        <v>0</v>
      </c>
      <c r="I219" s="3">
        <f>(((B219/B218)-(C219/C218))*H218)-IF(H219&lt;&gt;H218, Inputs!$B$4, 0)</f>
        <v>0</v>
      </c>
      <c r="J219" s="2">
        <f>J218*(1+I219)</f>
        <v>0</v>
      </c>
      <c r="K219" s="3">
        <f>(B219-B218)/B218</f>
        <v>0</v>
      </c>
      <c r="L219" s="2">
        <f>MAX(J$2:J219)</f>
        <v>0</v>
      </c>
      <c r="M219" s="3">
        <f>(J219-L219)/L219</f>
        <v>0</v>
      </c>
    </row>
    <row r="220" spans="1:13">
      <c r="A220" t="s">
        <v>243</v>
      </c>
      <c r="B220" s="2">
        <v>29.788</v>
      </c>
      <c r="C220" s="2">
        <v>179.1308948</v>
      </c>
      <c r="D220" s="2">
        <f>B220/C220</f>
        <v>0</v>
      </c>
      <c r="E220" s="2">
        <f>(D220*(2/(Inputs!$B$1+1)))+(E219*(1-(2/(Inputs!$B$1+1))))</f>
        <v>0</v>
      </c>
      <c r="F220" s="2">
        <f>STDEV.S(OFFSET(D220, -(MIN(Inputs!$B$1, ROW()-1)-1), 0, MIN(Inputs!$B$1, ROW()-1), 1))</f>
        <v>0</v>
      </c>
      <c r="G220" s="2">
        <f>IF(F220=0, 0, (D220-E220)/F220)</f>
        <v>0</v>
      </c>
      <c r="H220">
        <f>IF(H219=0, IF(G220&gt;Inputs!$B$2, -1, IF(G220&lt;-Inputs!$B$2, 1, 0)), IF(AND(H219=1, G220&gt;-Inputs!$B$3), 0, IF(AND(H219=-1, G220&lt;Inputs!$B$3), 0, H219)))</f>
        <v>0</v>
      </c>
      <c r="I220" s="3">
        <f>(((B220/B219)-(C220/C219))*H219)-IF(H220&lt;&gt;H219, Inputs!$B$4, 0)</f>
        <v>0</v>
      </c>
      <c r="J220" s="2">
        <f>J219*(1+I220)</f>
        <v>0</v>
      </c>
      <c r="K220" s="3">
        <f>(B220-B219)/B219</f>
        <v>0</v>
      </c>
      <c r="L220" s="2">
        <f>MAX(J$2:J220)</f>
        <v>0</v>
      </c>
      <c r="M220" s="3">
        <f>(J220-L220)/L220</f>
        <v>0</v>
      </c>
    </row>
    <row r="221" spans="1:13">
      <c r="A221" t="s">
        <v>244</v>
      </c>
      <c r="B221" s="2">
        <v>32.8017</v>
      </c>
      <c r="C221" s="2">
        <v>193.8785704</v>
      </c>
      <c r="D221" s="2">
        <f>B221/C221</f>
        <v>0</v>
      </c>
      <c r="E221" s="2">
        <f>(D221*(2/(Inputs!$B$1+1)))+(E220*(1-(2/(Inputs!$B$1+1))))</f>
        <v>0</v>
      </c>
      <c r="F221" s="2">
        <f>STDEV.S(OFFSET(D221, -(MIN(Inputs!$B$1, ROW()-1)-1), 0, MIN(Inputs!$B$1, ROW()-1), 1))</f>
        <v>0</v>
      </c>
      <c r="G221" s="2">
        <f>IF(F221=0, 0, (D221-E221)/F221)</f>
        <v>0</v>
      </c>
      <c r="H221">
        <f>IF(H220=0, IF(G221&gt;Inputs!$B$2, -1, IF(G221&lt;-Inputs!$B$2, 1, 0)), IF(AND(H220=1, G221&gt;-Inputs!$B$3), 0, IF(AND(H220=-1, G221&lt;Inputs!$B$3), 0, H220)))</f>
        <v>0</v>
      </c>
      <c r="I221" s="3">
        <f>(((B221/B220)-(C221/C220))*H220)-IF(H221&lt;&gt;H220, Inputs!$B$4, 0)</f>
        <v>0</v>
      </c>
      <c r="J221" s="2">
        <f>J220*(1+I221)</f>
        <v>0</v>
      </c>
      <c r="K221" s="3">
        <f>(B221-B220)/B220</f>
        <v>0</v>
      </c>
      <c r="L221" s="2">
        <f>MAX(J$2:J221)</f>
        <v>0</v>
      </c>
      <c r="M221" s="3">
        <f>(J221-L221)/L221</f>
        <v>0</v>
      </c>
    </row>
    <row r="222" spans="1:13">
      <c r="A222" t="s">
        <v>245</v>
      </c>
      <c r="B222" s="2">
        <v>33.2101</v>
      </c>
      <c r="C222" s="2">
        <v>203.28312</v>
      </c>
      <c r="D222" s="2">
        <f>B222/C222</f>
        <v>0</v>
      </c>
      <c r="E222" s="2">
        <f>(D222*(2/(Inputs!$B$1+1)))+(E221*(1-(2/(Inputs!$B$1+1))))</f>
        <v>0</v>
      </c>
      <c r="F222" s="2">
        <f>STDEV.S(OFFSET(D222, -(MIN(Inputs!$B$1, ROW()-1)-1), 0, MIN(Inputs!$B$1, ROW()-1), 1))</f>
        <v>0</v>
      </c>
      <c r="G222" s="2">
        <f>IF(F222=0, 0, (D222-E222)/F222)</f>
        <v>0</v>
      </c>
      <c r="H222">
        <f>IF(H221=0, IF(G222&gt;Inputs!$B$2, -1, IF(G222&lt;-Inputs!$B$2, 1, 0)), IF(AND(H221=1, G222&gt;-Inputs!$B$3), 0, IF(AND(H221=-1, G222&lt;Inputs!$B$3), 0, H221)))</f>
        <v>0</v>
      </c>
      <c r="I222" s="3">
        <f>(((B222/B221)-(C222/C221))*H221)-IF(H222&lt;&gt;H221, Inputs!$B$4, 0)</f>
        <v>0</v>
      </c>
      <c r="J222" s="2">
        <f>J221*(1+I222)</f>
        <v>0</v>
      </c>
      <c r="K222" s="3">
        <f>(B222-B221)/B221</f>
        <v>0</v>
      </c>
      <c r="L222" s="2">
        <f>MAX(J$2:J222)</f>
        <v>0</v>
      </c>
      <c r="M222" s="3">
        <f>(J222-L222)/L222</f>
        <v>0</v>
      </c>
    </row>
    <row r="223" spans="1:13">
      <c r="A223" t="s">
        <v>246</v>
      </c>
      <c r="B223" s="2">
        <v>34.6746</v>
      </c>
      <c r="C223" s="2">
        <v>208.54251</v>
      </c>
      <c r="D223" s="2">
        <f>B223/C223</f>
        <v>0</v>
      </c>
      <c r="E223" s="2">
        <f>(D223*(2/(Inputs!$B$1+1)))+(E222*(1-(2/(Inputs!$B$1+1))))</f>
        <v>0</v>
      </c>
      <c r="F223" s="2">
        <f>STDEV.S(OFFSET(D223, -(MIN(Inputs!$B$1, ROW()-1)-1), 0, MIN(Inputs!$B$1, ROW()-1), 1))</f>
        <v>0</v>
      </c>
      <c r="G223" s="2">
        <f>IF(F223=0, 0, (D223-E223)/F223)</f>
        <v>0</v>
      </c>
      <c r="H223">
        <f>IF(H222=0, IF(G223&gt;Inputs!$B$2, -1, IF(G223&lt;-Inputs!$B$2, 1, 0)), IF(AND(H222=1, G223&gt;-Inputs!$B$3), 0, IF(AND(H222=-1, G223&lt;Inputs!$B$3), 0, H222)))</f>
        <v>0</v>
      </c>
      <c r="I223" s="3">
        <f>(((B223/B222)-(C223/C222))*H222)-IF(H223&lt;&gt;H222, Inputs!$B$4, 0)</f>
        <v>0</v>
      </c>
      <c r="J223" s="2">
        <f>J222*(1+I223)</f>
        <v>0</v>
      </c>
      <c r="K223" s="3">
        <f>(B223-B222)/B222</f>
        <v>0</v>
      </c>
      <c r="L223" s="2">
        <f>MAX(J$2:J223)</f>
        <v>0</v>
      </c>
      <c r="M223" s="3">
        <f>(J223-L223)/L223</f>
        <v>0</v>
      </c>
    </row>
    <row r="224" spans="1:13">
      <c r="A224" t="s">
        <v>247</v>
      </c>
      <c r="B224" s="2">
        <v>34.6099</v>
      </c>
      <c r="C224" s="2">
        <v>207.64013</v>
      </c>
      <c r="D224" s="2">
        <f>B224/C224</f>
        <v>0</v>
      </c>
      <c r="E224" s="2">
        <f>(D224*(2/(Inputs!$B$1+1)))+(E223*(1-(2/(Inputs!$B$1+1))))</f>
        <v>0</v>
      </c>
      <c r="F224" s="2">
        <f>STDEV.S(OFFSET(D224, -(MIN(Inputs!$B$1, ROW()-1)-1), 0, MIN(Inputs!$B$1, ROW()-1), 1))</f>
        <v>0</v>
      </c>
      <c r="G224" s="2">
        <f>IF(F224=0, 0, (D224-E224)/F224)</f>
        <v>0</v>
      </c>
      <c r="H224">
        <f>IF(H223=0, IF(G224&gt;Inputs!$B$2, -1, IF(G224&lt;-Inputs!$B$2, 1, 0)), IF(AND(H223=1, G224&gt;-Inputs!$B$3), 0, IF(AND(H223=-1, G224&lt;Inputs!$B$3), 0, H223)))</f>
        <v>0</v>
      </c>
      <c r="I224" s="3">
        <f>(((B224/B223)-(C224/C223))*H223)-IF(H224&lt;&gt;H223, Inputs!$B$4, 0)</f>
        <v>0</v>
      </c>
      <c r="J224" s="2">
        <f>J223*(1+I224)</f>
        <v>0</v>
      </c>
      <c r="K224" s="3">
        <f>(B224-B223)/B223</f>
        <v>0</v>
      </c>
      <c r="L224" s="2">
        <f>MAX(J$2:J224)</f>
        <v>0</v>
      </c>
      <c r="M224" s="3">
        <f>(J224-L224)/L224</f>
        <v>0</v>
      </c>
    </row>
    <row r="225" spans="1:13">
      <c r="A225" t="s">
        <v>248</v>
      </c>
      <c r="B225" s="2">
        <v>35.4218</v>
      </c>
      <c r="C225" s="2">
        <v>211.0662982</v>
      </c>
      <c r="D225" s="2">
        <f>B225/C225</f>
        <v>0</v>
      </c>
      <c r="E225" s="2">
        <f>(D225*(2/(Inputs!$B$1+1)))+(E224*(1-(2/(Inputs!$B$1+1))))</f>
        <v>0</v>
      </c>
      <c r="F225" s="2">
        <f>STDEV.S(OFFSET(D225, -(MIN(Inputs!$B$1, ROW()-1)-1), 0, MIN(Inputs!$B$1, ROW()-1), 1))</f>
        <v>0</v>
      </c>
      <c r="G225" s="2">
        <f>IF(F225=0, 0, (D225-E225)/F225)</f>
        <v>0</v>
      </c>
      <c r="H225">
        <f>IF(H224=0, IF(G225&gt;Inputs!$B$2, -1, IF(G225&lt;-Inputs!$B$2, 1, 0)), IF(AND(H224=1, G225&gt;-Inputs!$B$3), 0, IF(AND(H224=-1, G225&lt;Inputs!$B$3), 0, H224)))</f>
        <v>0</v>
      </c>
      <c r="I225" s="3">
        <f>(((B225/B224)-(C225/C224))*H224)-IF(H225&lt;&gt;H224, Inputs!$B$4, 0)</f>
        <v>0</v>
      </c>
      <c r="J225" s="2">
        <f>J224*(1+I225)</f>
        <v>0</v>
      </c>
      <c r="K225" s="3">
        <f>(B225-B224)/B224</f>
        <v>0</v>
      </c>
      <c r="L225" s="2">
        <f>MAX(J$2:J225)</f>
        <v>0</v>
      </c>
      <c r="M225" s="3">
        <f>(J225-L225)/L225</f>
        <v>0</v>
      </c>
    </row>
    <row r="226" spans="1:13">
      <c r="A226" t="s">
        <v>249</v>
      </c>
      <c r="B226" s="2">
        <v>34.1068</v>
      </c>
      <c r="C226" s="2">
        <v>206.9177725</v>
      </c>
      <c r="D226" s="2">
        <f>B226/C226</f>
        <v>0</v>
      </c>
      <c r="E226" s="2">
        <f>(D226*(2/(Inputs!$B$1+1)))+(E225*(1-(2/(Inputs!$B$1+1))))</f>
        <v>0</v>
      </c>
      <c r="F226" s="2">
        <f>STDEV.S(OFFSET(D226, -(MIN(Inputs!$B$1, ROW()-1)-1), 0, MIN(Inputs!$B$1, ROW()-1), 1))</f>
        <v>0</v>
      </c>
      <c r="G226" s="2">
        <f>IF(F226=0, 0, (D226-E226)/F226)</f>
        <v>0</v>
      </c>
      <c r="H226">
        <f>IF(H225=0, IF(G226&gt;Inputs!$B$2, -1, IF(G226&lt;-Inputs!$B$2, 1, 0)), IF(AND(H225=1, G226&gt;-Inputs!$B$3), 0, IF(AND(H225=-1, G226&lt;Inputs!$B$3), 0, H225)))</f>
        <v>0</v>
      </c>
      <c r="I226" s="3">
        <f>(((B226/B225)-(C226/C225))*H225)-IF(H226&lt;&gt;H225, Inputs!$B$4, 0)</f>
        <v>0</v>
      </c>
      <c r="J226" s="2">
        <f>J225*(1+I226)</f>
        <v>0</v>
      </c>
      <c r="K226" s="3">
        <f>(B226-B225)/B225</f>
        <v>0</v>
      </c>
      <c r="L226" s="2">
        <f>MAX(J$2:J226)</f>
        <v>0</v>
      </c>
      <c r="M226" s="3">
        <f>(J226-L226)/L226</f>
        <v>0</v>
      </c>
    </row>
    <row r="227" spans="1:13">
      <c r="A227" t="s">
        <v>250</v>
      </c>
      <c r="B227" s="2">
        <v>35.1579</v>
      </c>
      <c r="C227" s="2">
        <v>211.2201365</v>
      </c>
      <c r="D227" s="2">
        <f>B227/C227</f>
        <v>0</v>
      </c>
      <c r="E227" s="2">
        <f>(D227*(2/(Inputs!$B$1+1)))+(E226*(1-(2/(Inputs!$B$1+1))))</f>
        <v>0</v>
      </c>
      <c r="F227" s="2">
        <f>STDEV.S(OFFSET(D227, -(MIN(Inputs!$B$1, ROW()-1)-1), 0, MIN(Inputs!$B$1, ROW()-1), 1))</f>
        <v>0</v>
      </c>
      <c r="G227" s="2">
        <f>IF(F227=0, 0, (D227-E227)/F227)</f>
        <v>0</v>
      </c>
      <c r="H227">
        <f>IF(H226=0, IF(G227&gt;Inputs!$B$2, -1, IF(G227&lt;-Inputs!$B$2, 1, 0)), IF(AND(H226=1, G227&gt;-Inputs!$B$3), 0, IF(AND(H226=-1, G227&lt;Inputs!$B$3), 0, H226)))</f>
        <v>0</v>
      </c>
      <c r="I227" s="3">
        <f>(((B227/B226)-(C227/C226))*H226)-IF(H227&lt;&gt;H226, Inputs!$B$4, 0)</f>
        <v>0</v>
      </c>
      <c r="J227" s="2">
        <f>J226*(1+I227)</f>
        <v>0</v>
      </c>
      <c r="K227" s="3">
        <f>(B227-B226)/B226</f>
        <v>0</v>
      </c>
      <c r="L227" s="2">
        <f>MAX(J$2:J227)</f>
        <v>0</v>
      </c>
      <c r="M227" s="3">
        <f>(J227-L227)/L227</f>
        <v>0</v>
      </c>
    </row>
    <row r="228" spans="1:13">
      <c r="A228" t="s">
        <v>251</v>
      </c>
      <c r="B228" s="2">
        <v>34.4903</v>
      </c>
      <c r="C228" s="2">
        <v>210.3755444</v>
      </c>
      <c r="D228" s="2">
        <f>B228/C228</f>
        <v>0</v>
      </c>
      <c r="E228" s="2">
        <f>(D228*(2/(Inputs!$B$1+1)))+(E227*(1-(2/(Inputs!$B$1+1))))</f>
        <v>0</v>
      </c>
      <c r="F228" s="2">
        <f>STDEV.S(OFFSET(D228, -(MIN(Inputs!$B$1, ROW()-1)-1), 0, MIN(Inputs!$B$1, ROW()-1), 1))</f>
        <v>0</v>
      </c>
      <c r="G228" s="2">
        <f>IF(F228=0, 0, (D228-E228)/F228)</f>
        <v>0</v>
      </c>
      <c r="H228">
        <f>IF(H227=0, IF(G228&gt;Inputs!$B$2, -1, IF(G228&lt;-Inputs!$B$2, 1, 0)), IF(AND(H227=1, G228&gt;-Inputs!$B$3), 0, IF(AND(H227=-1, G228&lt;Inputs!$B$3), 0, H227)))</f>
        <v>0</v>
      </c>
      <c r="I228" s="3">
        <f>(((B228/B227)-(C228/C227))*H227)-IF(H228&lt;&gt;H227, Inputs!$B$4, 0)</f>
        <v>0</v>
      </c>
      <c r="J228" s="2">
        <f>J227*(1+I228)</f>
        <v>0</v>
      </c>
      <c r="K228" s="3">
        <f>(B228-B227)/B227</f>
        <v>0</v>
      </c>
      <c r="L228" s="2">
        <f>MAX(J$2:J228)</f>
        <v>0</v>
      </c>
      <c r="M228" s="3">
        <f>(J228-L228)/L228</f>
        <v>0</v>
      </c>
    </row>
    <row r="229" spans="1:13">
      <c r="A229" t="s">
        <v>252</v>
      </c>
      <c r="B229" s="2">
        <v>33.9523</v>
      </c>
      <c r="C229" s="2">
        <v>204.293697</v>
      </c>
      <c r="D229" s="2">
        <f>B229/C229</f>
        <v>0</v>
      </c>
      <c r="E229" s="2">
        <f>(D229*(2/(Inputs!$B$1+1)))+(E228*(1-(2/(Inputs!$B$1+1))))</f>
        <v>0</v>
      </c>
      <c r="F229" s="2">
        <f>STDEV.S(OFFSET(D229, -(MIN(Inputs!$B$1, ROW()-1)-1), 0, MIN(Inputs!$B$1, ROW()-1), 1))</f>
        <v>0</v>
      </c>
      <c r="G229" s="2">
        <f>IF(F229=0, 0, (D229-E229)/F229)</f>
        <v>0</v>
      </c>
      <c r="H229">
        <f>IF(H228=0, IF(G229&gt;Inputs!$B$2, -1, IF(G229&lt;-Inputs!$B$2, 1, 0)), IF(AND(H228=1, G229&gt;-Inputs!$B$3), 0, IF(AND(H228=-1, G229&lt;Inputs!$B$3), 0, H228)))</f>
        <v>0</v>
      </c>
      <c r="I229" s="3">
        <f>(((B229/B228)-(C229/C228))*H228)-IF(H229&lt;&gt;H228, Inputs!$B$4, 0)</f>
        <v>0</v>
      </c>
      <c r="J229" s="2">
        <f>J228*(1+I229)</f>
        <v>0</v>
      </c>
      <c r="K229" s="3">
        <f>(B229-B228)/B228</f>
        <v>0</v>
      </c>
      <c r="L229" s="2">
        <f>MAX(J$2:J229)</f>
        <v>0</v>
      </c>
      <c r="M229" s="3">
        <f>(J229-L229)/L229</f>
        <v>0</v>
      </c>
    </row>
    <row r="230" spans="1:13">
      <c r="A230" t="s">
        <v>253</v>
      </c>
      <c r="B230" s="2">
        <v>32.4231</v>
      </c>
      <c r="C230" s="2">
        <v>192.5653345</v>
      </c>
      <c r="D230" s="2">
        <f>B230/C230</f>
        <v>0</v>
      </c>
      <c r="E230" s="2">
        <f>(D230*(2/(Inputs!$B$1+1)))+(E229*(1-(2/(Inputs!$B$1+1))))</f>
        <v>0</v>
      </c>
      <c r="F230" s="2">
        <f>STDEV.S(OFFSET(D230, -(MIN(Inputs!$B$1, ROW()-1)-1), 0, MIN(Inputs!$B$1, ROW()-1), 1))</f>
        <v>0</v>
      </c>
      <c r="G230" s="2">
        <f>IF(F230=0, 0, (D230-E230)/F230)</f>
        <v>0</v>
      </c>
      <c r="H230">
        <f>IF(H229=0, IF(G230&gt;Inputs!$B$2, -1, IF(G230&lt;-Inputs!$B$2, 1, 0)), IF(AND(H229=1, G230&gt;-Inputs!$B$3), 0, IF(AND(H229=-1, G230&lt;Inputs!$B$3), 0, H229)))</f>
        <v>0</v>
      </c>
      <c r="I230" s="3">
        <f>(((B230/B229)-(C230/C229))*H229)-IF(H230&lt;&gt;H229, Inputs!$B$4, 0)</f>
        <v>0</v>
      </c>
      <c r="J230" s="2">
        <f>J229*(1+I230)</f>
        <v>0</v>
      </c>
      <c r="K230" s="3">
        <f>(B230-B229)/B229</f>
        <v>0</v>
      </c>
      <c r="L230" s="2">
        <f>MAX(J$2:J230)</f>
        <v>0</v>
      </c>
      <c r="M230" s="3">
        <f>(J230-L230)/L230</f>
        <v>0</v>
      </c>
    </row>
    <row r="231" spans="1:13">
      <c r="A231" t="s">
        <v>254</v>
      </c>
      <c r="B231" s="2">
        <v>34.3658</v>
      </c>
      <c r="C231" s="2">
        <v>205.0725141</v>
      </c>
      <c r="D231" s="2">
        <f>B231/C231</f>
        <v>0</v>
      </c>
      <c r="E231" s="2">
        <f>(D231*(2/(Inputs!$B$1+1)))+(E230*(1-(2/(Inputs!$B$1+1))))</f>
        <v>0</v>
      </c>
      <c r="F231" s="2">
        <f>STDEV.S(OFFSET(D231, -(MIN(Inputs!$B$1, ROW()-1)-1), 0, MIN(Inputs!$B$1, ROW()-1), 1))</f>
        <v>0</v>
      </c>
      <c r="G231" s="2">
        <f>IF(F231=0, 0, (D231-E231)/F231)</f>
        <v>0</v>
      </c>
      <c r="H231">
        <f>IF(H230=0, IF(G231&gt;Inputs!$B$2, -1, IF(G231&lt;-Inputs!$B$2, 1, 0)), IF(AND(H230=1, G231&gt;-Inputs!$B$3), 0, IF(AND(H230=-1, G231&lt;Inputs!$B$3), 0, H230)))</f>
        <v>0</v>
      </c>
      <c r="I231" s="3">
        <f>(((B231/B230)-(C231/C230))*H230)-IF(H231&lt;&gt;H230, Inputs!$B$4, 0)</f>
        <v>0</v>
      </c>
      <c r="J231" s="2">
        <f>J230*(1+I231)</f>
        <v>0</v>
      </c>
      <c r="K231" s="3">
        <f>(B231-B230)/B230</f>
        <v>0</v>
      </c>
      <c r="L231" s="2">
        <f>MAX(J$2:J231)</f>
        <v>0</v>
      </c>
      <c r="M231" s="3">
        <f>(J231-L231)/L231</f>
        <v>0</v>
      </c>
    </row>
    <row r="232" spans="1:13">
      <c r="A232" t="s">
        <v>255</v>
      </c>
      <c r="B232" s="2">
        <v>35.5364</v>
      </c>
      <c r="C232" s="2">
        <v>213.383819</v>
      </c>
      <c r="D232" s="2">
        <f>B232/C232</f>
        <v>0</v>
      </c>
      <c r="E232" s="2">
        <f>(D232*(2/(Inputs!$B$1+1)))+(E231*(1-(2/(Inputs!$B$1+1))))</f>
        <v>0</v>
      </c>
      <c r="F232" s="2">
        <f>STDEV.S(OFFSET(D232, -(MIN(Inputs!$B$1, ROW()-1)-1), 0, MIN(Inputs!$B$1, ROW()-1), 1))</f>
        <v>0</v>
      </c>
      <c r="G232" s="2">
        <f>IF(F232=0, 0, (D232-E232)/F232)</f>
        <v>0</v>
      </c>
      <c r="H232">
        <f>IF(H231=0, IF(G232&gt;Inputs!$B$2, -1, IF(G232&lt;-Inputs!$B$2, 1, 0)), IF(AND(H231=1, G232&gt;-Inputs!$B$3), 0, IF(AND(H231=-1, G232&lt;Inputs!$B$3), 0, H231)))</f>
        <v>0</v>
      </c>
      <c r="I232" s="3">
        <f>(((B232/B231)-(C232/C231))*H231)-IF(H232&lt;&gt;H231, Inputs!$B$4, 0)</f>
        <v>0</v>
      </c>
      <c r="J232" s="2">
        <f>J231*(1+I232)</f>
        <v>0</v>
      </c>
      <c r="K232" s="3">
        <f>(B232-B231)/B231</f>
        <v>0</v>
      </c>
      <c r="L232" s="2">
        <f>MAX(J$2:J232)</f>
        <v>0</v>
      </c>
      <c r="M232" s="3">
        <f>(J232-L232)/L232</f>
        <v>0</v>
      </c>
    </row>
    <row r="233" spans="1:13">
      <c r="A233" t="s">
        <v>256</v>
      </c>
      <c r="B233" s="2">
        <v>36.3583</v>
      </c>
      <c r="C233" s="2">
        <v>218.2160916</v>
      </c>
      <c r="D233" s="2">
        <f>B233/C233</f>
        <v>0</v>
      </c>
      <c r="E233" s="2">
        <f>(D233*(2/(Inputs!$B$1+1)))+(E232*(1-(2/(Inputs!$B$1+1))))</f>
        <v>0</v>
      </c>
      <c r="F233" s="2">
        <f>STDEV.S(OFFSET(D233, -(MIN(Inputs!$B$1, ROW()-1)-1), 0, MIN(Inputs!$B$1, ROW()-1), 1))</f>
        <v>0</v>
      </c>
      <c r="G233" s="2">
        <f>IF(F233=0, 0, (D233-E233)/F233)</f>
        <v>0</v>
      </c>
      <c r="H233">
        <f>IF(H232=0, IF(G233&gt;Inputs!$B$2, -1, IF(G233&lt;-Inputs!$B$2, 1, 0)), IF(AND(H232=1, G233&gt;-Inputs!$B$3), 0, IF(AND(H232=-1, G233&lt;Inputs!$B$3), 0, H232)))</f>
        <v>0</v>
      </c>
      <c r="I233" s="3">
        <f>(((B233/B232)-(C233/C232))*H232)-IF(H233&lt;&gt;H232, Inputs!$B$4, 0)</f>
        <v>0</v>
      </c>
      <c r="J233" s="2">
        <f>J232*(1+I233)</f>
        <v>0</v>
      </c>
      <c r="K233" s="3">
        <f>(B233-B232)/B232</f>
        <v>0</v>
      </c>
      <c r="L233" s="2">
        <f>MAX(J$2:J233)</f>
        <v>0</v>
      </c>
      <c r="M233" s="3">
        <f>(J233-L233)/L233</f>
        <v>0</v>
      </c>
    </row>
    <row r="234" spans="1:13">
      <c r="A234" t="s">
        <v>257</v>
      </c>
      <c r="B234" s="2">
        <v>34.9337</v>
      </c>
      <c r="C234" s="2">
        <v>207.78758</v>
      </c>
      <c r="D234" s="2">
        <f>B234/C234</f>
        <v>0</v>
      </c>
      <c r="E234" s="2">
        <f>(D234*(2/(Inputs!$B$1+1)))+(E233*(1-(2/(Inputs!$B$1+1))))</f>
        <v>0</v>
      </c>
      <c r="F234" s="2">
        <f>STDEV.S(OFFSET(D234, -(MIN(Inputs!$B$1, ROW()-1)-1), 0, MIN(Inputs!$B$1, ROW()-1), 1))</f>
        <v>0</v>
      </c>
      <c r="G234" s="2">
        <f>IF(F234=0, 0, (D234-E234)/F234)</f>
        <v>0</v>
      </c>
      <c r="H234">
        <f>IF(H233=0, IF(G234&gt;Inputs!$B$2, -1, IF(G234&lt;-Inputs!$B$2, 1, 0)), IF(AND(H233=1, G234&gt;-Inputs!$B$3), 0, IF(AND(H233=-1, G234&lt;Inputs!$B$3), 0, H233)))</f>
        <v>0</v>
      </c>
      <c r="I234" s="3">
        <f>(((B234/B233)-(C234/C233))*H233)-IF(H234&lt;&gt;H233, Inputs!$B$4, 0)</f>
        <v>0</v>
      </c>
      <c r="J234" s="2">
        <f>J233*(1+I234)</f>
        <v>0</v>
      </c>
      <c r="K234" s="3">
        <f>(B234-B233)/B233</f>
        <v>0</v>
      </c>
      <c r="L234" s="2">
        <f>MAX(J$2:J234)</f>
        <v>0</v>
      </c>
      <c r="M234" s="3">
        <f>(J234-L234)/L234</f>
        <v>0</v>
      </c>
    </row>
    <row r="235" spans="1:13">
      <c r="A235" t="s">
        <v>258</v>
      </c>
      <c r="B235" s="2">
        <v>34.4704</v>
      </c>
      <c r="C235" s="2">
        <v>210.588985</v>
      </c>
      <c r="D235" s="2">
        <f>B235/C235</f>
        <v>0</v>
      </c>
      <c r="E235" s="2">
        <f>(D235*(2/(Inputs!$B$1+1)))+(E234*(1-(2/(Inputs!$B$1+1))))</f>
        <v>0</v>
      </c>
      <c r="F235" s="2">
        <f>STDEV.S(OFFSET(D235, -(MIN(Inputs!$B$1, ROW()-1)-1), 0, MIN(Inputs!$B$1, ROW()-1), 1))</f>
        <v>0</v>
      </c>
      <c r="G235" s="2">
        <f>IF(F235=0, 0, (D235-E235)/F235)</f>
        <v>0</v>
      </c>
      <c r="H235">
        <f>IF(H234=0, IF(G235&gt;Inputs!$B$2, -1, IF(G235&lt;-Inputs!$B$2, 1, 0)), IF(AND(H234=1, G235&gt;-Inputs!$B$3), 0, IF(AND(H234=-1, G235&lt;Inputs!$B$3), 0, H234)))</f>
        <v>0</v>
      </c>
      <c r="I235" s="3">
        <f>(((B235/B234)-(C235/C234))*H234)-IF(H235&lt;&gt;H234, Inputs!$B$4, 0)</f>
        <v>0</v>
      </c>
      <c r="J235" s="2">
        <f>J234*(1+I235)</f>
        <v>0</v>
      </c>
      <c r="K235" s="3">
        <f>(B235-B234)/B234</f>
        <v>0</v>
      </c>
      <c r="L235" s="2">
        <f>MAX(J$2:J235)</f>
        <v>0</v>
      </c>
      <c r="M235" s="3">
        <f>(J235-L235)/L235</f>
        <v>0</v>
      </c>
    </row>
    <row r="236" spans="1:13">
      <c r="A236" t="s">
        <v>259</v>
      </c>
      <c r="B236" s="2">
        <v>35.7456</v>
      </c>
      <c r="C236" s="2">
        <v>215.1274447</v>
      </c>
      <c r="D236" s="2">
        <f>B236/C236</f>
        <v>0</v>
      </c>
      <c r="E236" s="2">
        <f>(D236*(2/(Inputs!$B$1+1)))+(E235*(1-(2/(Inputs!$B$1+1))))</f>
        <v>0</v>
      </c>
      <c r="F236" s="2">
        <f>STDEV.S(OFFSET(D236, -(MIN(Inputs!$B$1, ROW()-1)-1), 0, MIN(Inputs!$B$1, ROW()-1), 1))</f>
        <v>0</v>
      </c>
      <c r="G236" s="2">
        <f>IF(F236=0, 0, (D236-E236)/F236)</f>
        <v>0</v>
      </c>
      <c r="H236">
        <f>IF(H235=0, IF(G236&gt;Inputs!$B$2, -1, IF(G236&lt;-Inputs!$B$2, 1, 0)), IF(AND(H235=1, G236&gt;-Inputs!$B$3), 0, IF(AND(H235=-1, G236&lt;Inputs!$B$3), 0, H235)))</f>
        <v>0</v>
      </c>
      <c r="I236" s="3">
        <f>(((B236/B235)-(C236/C235))*H235)-IF(H236&lt;&gt;H235, Inputs!$B$4, 0)</f>
        <v>0</v>
      </c>
      <c r="J236" s="2">
        <f>J235*(1+I236)</f>
        <v>0</v>
      </c>
      <c r="K236" s="3">
        <f>(B236-B235)/B235</f>
        <v>0</v>
      </c>
      <c r="L236" s="2">
        <f>MAX(J$2:J236)</f>
        <v>0</v>
      </c>
      <c r="M236" s="3">
        <f>(J236-L236)/L236</f>
        <v>0</v>
      </c>
    </row>
    <row r="237" spans="1:13">
      <c r="A237" t="s">
        <v>260</v>
      </c>
      <c r="B237" s="2">
        <v>36.6522</v>
      </c>
      <c r="C237" s="2">
        <v>219.7822952</v>
      </c>
      <c r="D237" s="2">
        <f>B237/C237</f>
        <v>0</v>
      </c>
      <c r="E237" s="2">
        <f>(D237*(2/(Inputs!$B$1+1)))+(E236*(1-(2/(Inputs!$B$1+1))))</f>
        <v>0</v>
      </c>
      <c r="F237" s="2">
        <f>STDEV.S(OFFSET(D237, -(MIN(Inputs!$B$1, ROW()-1)-1), 0, MIN(Inputs!$B$1, ROW()-1), 1))</f>
        <v>0</v>
      </c>
      <c r="G237" s="2">
        <f>IF(F237=0, 0, (D237-E237)/F237)</f>
        <v>0</v>
      </c>
      <c r="H237">
        <f>IF(H236=0, IF(G237&gt;Inputs!$B$2, -1, IF(G237&lt;-Inputs!$B$2, 1, 0)), IF(AND(H236=1, G237&gt;-Inputs!$B$3), 0, IF(AND(H236=-1, G237&lt;Inputs!$B$3), 0, H236)))</f>
        <v>0</v>
      </c>
      <c r="I237" s="3">
        <f>(((B237/B236)-(C237/C236))*H236)-IF(H237&lt;&gt;H236, Inputs!$B$4, 0)</f>
        <v>0</v>
      </c>
      <c r="J237" s="2">
        <f>J236*(1+I237)</f>
        <v>0</v>
      </c>
      <c r="K237" s="3">
        <f>(B237-B236)/B236</f>
        <v>0</v>
      </c>
      <c r="L237" s="2">
        <f>MAX(J$2:J237)</f>
        <v>0</v>
      </c>
      <c r="M237" s="3">
        <f>(J237-L237)/L237</f>
        <v>0</v>
      </c>
    </row>
    <row r="238" spans="1:13">
      <c r="A238" t="s">
        <v>261</v>
      </c>
      <c r="B238" s="2">
        <v>37.0855</v>
      </c>
      <c r="C238" s="2">
        <v>222.117103</v>
      </c>
      <c r="D238" s="2">
        <f>B238/C238</f>
        <v>0</v>
      </c>
      <c r="E238" s="2">
        <f>(D238*(2/(Inputs!$B$1+1)))+(E237*(1-(2/(Inputs!$B$1+1))))</f>
        <v>0</v>
      </c>
      <c r="F238" s="2">
        <f>STDEV.S(OFFSET(D238, -(MIN(Inputs!$B$1, ROW()-1)-1), 0, MIN(Inputs!$B$1, ROW()-1), 1))</f>
        <v>0</v>
      </c>
      <c r="G238" s="2">
        <f>IF(F238=0, 0, (D238-E238)/F238)</f>
        <v>0</v>
      </c>
      <c r="H238">
        <f>IF(H237=0, IF(G238&gt;Inputs!$B$2, -1, IF(G238&lt;-Inputs!$B$2, 1, 0)), IF(AND(H237=1, G238&gt;-Inputs!$B$3), 0, IF(AND(H237=-1, G238&lt;Inputs!$B$3), 0, H237)))</f>
        <v>0</v>
      </c>
      <c r="I238" s="3">
        <f>(((B238/B237)-(C238/C237))*H237)-IF(H238&lt;&gt;H237, Inputs!$B$4, 0)</f>
        <v>0</v>
      </c>
      <c r="J238" s="2">
        <f>J237*(1+I238)</f>
        <v>0</v>
      </c>
      <c r="K238" s="3">
        <f>(B238-B237)/B237</f>
        <v>0</v>
      </c>
      <c r="L238" s="2">
        <f>MAX(J$2:J238)</f>
        <v>0</v>
      </c>
      <c r="M238" s="3">
        <f>(J238-L238)/L238</f>
        <v>0</v>
      </c>
    </row>
    <row r="239" spans="1:13">
      <c r="A239" t="s">
        <v>262</v>
      </c>
      <c r="B239" s="2">
        <v>36.9959</v>
      </c>
      <c r="C239" s="2">
        <v>220.769385</v>
      </c>
      <c r="D239" s="2">
        <f>B239/C239</f>
        <v>0</v>
      </c>
      <c r="E239" s="2">
        <f>(D239*(2/(Inputs!$B$1+1)))+(E238*(1-(2/(Inputs!$B$1+1))))</f>
        <v>0</v>
      </c>
      <c r="F239" s="2">
        <f>STDEV.S(OFFSET(D239, -(MIN(Inputs!$B$1, ROW()-1)-1), 0, MIN(Inputs!$B$1, ROW()-1), 1))</f>
        <v>0</v>
      </c>
      <c r="G239" s="2">
        <f>IF(F239=0, 0, (D239-E239)/F239)</f>
        <v>0</v>
      </c>
      <c r="H239">
        <f>IF(H238=0, IF(G239&gt;Inputs!$B$2, -1, IF(G239&lt;-Inputs!$B$2, 1, 0)), IF(AND(H238=1, G239&gt;-Inputs!$B$3), 0, IF(AND(H238=-1, G239&lt;Inputs!$B$3), 0, H238)))</f>
        <v>0</v>
      </c>
      <c r="I239" s="3">
        <f>(((B239/B238)-(C239/C238))*H238)-IF(H239&lt;&gt;H238, Inputs!$B$4, 0)</f>
        <v>0</v>
      </c>
      <c r="J239" s="2">
        <f>J238*(1+I239)</f>
        <v>0</v>
      </c>
      <c r="K239" s="3">
        <f>(B239-B238)/B238</f>
        <v>0</v>
      </c>
      <c r="L239" s="2">
        <f>MAX(J$2:J239)</f>
        <v>0</v>
      </c>
      <c r="M239" s="3">
        <f>(J239-L239)/L239</f>
        <v>0</v>
      </c>
    </row>
    <row r="240" spans="1:13">
      <c r="A240" t="s">
        <v>263</v>
      </c>
      <c r="B240" s="2">
        <v>38.1516</v>
      </c>
      <c r="C240" s="2">
        <v>229.013554</v>
      </c>
      <c r="D240" s="2">
        <f>B240/C240</f>
        <v>0</v>
      </c>
      <c r="E240" s="2">
        <f>(D240*(2/(Inputs!$B$1+1)))+(E239*(1-(2/(Inputs!$B$1+1))))</f>
        <v>0</v>
      </c>
      <c r="F240" s="2">
        <f>STDEV.S(OFFSET(D240, -(MIN(Inputs!$B$1, ROW()-1)-1), 0, MIN(Inputs!$B$1, ROW()-1), 1))</f>
        <v>0</v>
      </c>
      <c r="G240" s="2">
        <f>IF(F240=0, 0, (D240-E240)/F240)</f>
        <v>0</v>
      </c>
      <c r="H240">
        <f>IF(H239=0, IF(G240&gt;Inputs!$B$2, -1, IF(G240&lt;-Inputs!$B$2, 1, 0)), IF(AND(H239=1, G240&gt;-Inputs!$B$3), 0, IF(AND(H239=-1, G240&lt;Inputs!$B$3), 0, H239)))</f>
        <v>0</v>
      </c>
      <c r="I240" s="3">
        <f>(((B240/B239)-(C240/C239))*H239)-IF(H240&lt;&gt;H239, Inputs!$B$4, 0)</f>
        <v>0</v>
      </c>
      <c r="J240" s="2">
        <f>J239*(1+I240)</f>
        <v>0</v>
      </c>
      <c r="K240" s="3">
        <f>(B240-B239)/B239</f>
        <v>0</v>
      </c>
      <c r="L240" s="2">
        <f>MAX(J$2:J240)</f>
        <v>0</v>
      </c>
      <c r="M240" s="3">
        <f>(J240-L240)/L240</f>
        <v>0</v>
      </c>
    </row>
    <row r="241" spans="1:13">
      <c r="A241" t="s">
        <v>264</v>
      </c>
      <c r="B241" s="2">
        <v>37.1602</v>
      </c>
      <c r="C241" s="2">
        <v>223.477842</v>
      </c>
      <c r="D241" s="2">
        <f>B241/C241</f>
        <v>0</v>
      </c>
      <c r="E241" s="2">
        <f>(D241*(2/(Inputs!$B$1+1)))+(E240*(1-(2/(Inputs!$B$1+1))))</f>
        <v>0</v>
      </c>
      <c r="F241" s="2">
        <f>STDEV.S(OFFSET(D241, -(MIN(Inputs!$B$1, ROW()-1)-1), 0, MIN(Inputs!$B$1, ROW()-1), 1))</f>
        <v>0</v>
      </c>
      <c r="G241" s="2">
        <f>IF(F241=0, 0, (D241-E241)/F241)</f>
        <v>0</v>
      </c>
      <c r="H241">
        <f>IF(H240=0, IF(G241&gt;Inputs!$B$2, -1, IF(G241&lt;-Inputs!$B$2, 1, 0)), IF(AND(H240=1, G241&gt;-Inputs!$B$3), 0, IF(AND(H240=-1, G241&lt;Inputs!$B$3), 0, H240)))</f>
        <v>0</v>
      </c>
      <c r="I241" s="3">
        <f>(((B241/B240)-(C241/C240))*H240)-IF(H241&lt;&gt;H240, Inputs!$B$4, 0)</f>
        <v>0</v>
      </c>
      <c r="J241" s="2">
        <f>J240*(1+I241)</f>
        <v>0</v>
      </c>
      <c r="K241" s="3">
        <f>(B241-B240)/B240</f>
        <v>0</v>
      </c>
      <c r="L241" s="2">
        <f>MAX(J$2:J241)</f>
        <v>0</v>
      </c>
      <c r="M241" s="3">
        <f>(J241-L241)/L241</f>
        <v>0</v>
      </c>
    </row>
    <row r="242" spans="1:13">
      <c r="A242" t="s">
        <v>265</v>
      </c>
      <c r="B242" s="2">
        <v>36.4131</v>
      </c>
      <c r="C242" s="2">
        <v>216.9158288</v>
      </c>
      <c r="D242" s="2">
        <f>B242/C242</f>
        <v>0</v>
      </c>
      <c r="E242" s="2">
        <f>(D242*(2/(Inputs!$B$1+1)))+(E241*(1-(2/(Inputs!$B$1+1))))</f>
        <v>0</v>
      </c>
      <c r="F242" s="2">
        <f>STDEV.S(OFFSET(D242, -(MIN(Inputs!$B$1, ROW()-1)-1), 0, MIN(Inputs!$B$1, ROW()-1), 1))</f>
        <v>0</v>
      </c>
      <c r="G242" s="2">
        <f>IF(F242=0, 0, (D242-E242)/F242)</f>
        <v>0</v>
      </c>
      <c r="H242">
        <f>IF(H241=0, IF(G242&gt;Inputs!$B$2, -1, IF(G242&lt;-Inputs!$B$2, 1, 0)), IF(AND(H241=1, G242&gt;-Inputs!$B$3), 0, IF(AND(H241=-1, G242&lt;Inputs!$B$3), 0, H241)))</f>
        <v>0</v>
      </c>
      <c r="I242" s="3">
        <f>(((B242/B241)-(C242/C241))*H241)-IF(H242&lt;&gt;H241, Inputs!$B$4, 0)</f>
        <v>0</v>
      </c>
      <c r="J242" s="2">
        <f>J241*(1+I242)</f>
        <v>0</v>
      </c>
      <c r="K242" s="3">
        <f>(B242-B241)/B241</f>
        <v>0</v>
      </c>
      <c r="L242" s="2">
        <f>MAX(J$2:J242)</f>
        <v>0</v>
      </c>
      <c r="M242" s="3">
        <f>(J242-L242)/L242</f>
        <v>0</v>
      </c>
    </row>
    <row r="243" spans="1:13">
      <c r="A243" t="s">
        <v>266</v>
      </c>
      <c r="B243" s="2">
        <v>36.971</v>
      </c>
      <c r="C243" s="2">
        <v>221.5811103</v>
      </c>
      <c r="D243" s="2">
        <f>B243/C243</f>
        <v>0</v>
      </c>
      <c r="E243" s="2">
        <f>(D243*(2/(Inputs!$B$1+1)))+(E242*(1-(2/(Inputs!$B$1+1))))</f>
        <v>0</v>
      </c>
      <c r="F243" s="2">
        <f>STDEV.S(OFFSET(D243, -(MIN(Inputs!$B$1, ROW()-1)-1), 0, MIN(Inputs!$B$1, ROW()-1), 1))</f>
        <v>0</v>
      </c>
      <c r="G243" s="2">
        <f>IF(F243=0, 0, (D243-E243)/F243)</f>
        <v>0</v>
      </c>
      <c r="H243">
        <f>IF(H242=0, IF(G243&gt;Inputs!$B$2, -1, IF(G243&lt;-Inputs!$B$2, 1, 0)), IF(AND(H242=1, G243&gt;-Inputs!$B$3), 0, IF(AND(H242=-1, G243&lt;Inputs!$B$3), 0, H242)))</f>
        <v>0</v>
      </c>
      <c r="I243" s="3">
        <f>(((B243/B242)-(C243/C242))*H242)-IF(H243&lt;&gt;H242, Inputs!$B$4, 0)</f>
        <v>0</v>
      </c>
      <c r="J243" s="2">
        <f>J242*(1+I243)</f>
        <v>0</v>
      </c>
      <c r="K243" s="3">
        <f>(B243-B242)/B242</f>
        <v>0</v>
      </c>
      <c r="L243" s="2">
        <f>MAX(J$2:J243)</f>
        <v>0</v>
      </c>
      <c r="M243" s="3">
        <f>(J243-L243)/L243</f>
        <v>0</v>
      </c>
    </row>
    <row r="244" spans="1:13">
      <c r="A244" t="s">
        <v>267</v>
      </c>
      <c r="B244" s="2">
        <v>37.2001</v>
      </c>
      <c r="C244" s="2">
        <v>221.6350038</v>
      </c>
      <c r="D244" s="2">
        <f>B244/C244</f>
        <v>0</v>
      </c>
      <c r="E244" s="2">
        <f>(D244*(2/(Inputs!$B$1+1)))+(E243*(1-(2/(Inputs!$B$1+1))))</f>
        <v>0</v>
      </c>
      <c r="F244" s="2">
        <f>STDEV.S(OFFSET(D244, -(MIN(Inputs!$B$1, ROW()-1)-1), 0, MIN(Inputs!$B$1, ROW()-1), 1))</f>
        <v>0</v>
      </c>
      <c r="G244" s="2">
        <f>IF(F244=0, 0, (D244-E244)/F244)</f>
        <v>0</v>
      </c>
      <c r="H244">
        <f>IF(H243=0, IF(G244&gt;Inputs!$B$2, -1, IF(G244&lt;-Inputs!$B$2, 1, 0)), IF(AND(H243=1, G244&gt;-Inputs!$B$3), 0, IF(AND(H243=-1, G244&lt;Inputs!$B$3), 0, H243)))</f>
        <v>0</v>
      </c>
      <c r="I244" s="3">
        <f>(((B244/B243)-(C244/C243))*H243)-IF(H244&lt;&gt;H243, Inputs!$B$4, 0)</f>
        <v>0</v>
      </c>
      <c r="J244" s="2">
        <f>J243*(1+I244)</f>
        <v>0</v>
      </c>
      <c r="K244" s="3">
        <f>(B244-B243)/B243</f>
        <v>0</v>
      </c>
      <c r="L244" s="2">
        <f>MAX(J$2:J244)</f>
        <v>0</v>
      </c>
      <c r="M244" s="3">
        <f>(J244-L244)/L244</f>
        <v>0</v>
      </c>
    </row>
    <row r="245" spans="1:13">
      <c r="A245" t="s">
        <v>268</v>
      </c>
      <c r="B245" s="2">
        <v>36.8216</v>
      </c>
      <c r="C245" s="2">
        <v>221.0316264</v>
      </c>
      <c r="D245" s="2">
        <f>B245/C245</f>
        <v>0</v>
      </c>
      <c r="E245" s="2">
        <f>(D245*(2/(Inputs!$B$1+1)))+(E244*(1-(2/(Inputs!$B$1+1))))</f>
        <v>0</v>
      </c>
      <c r="F245" s="2">
        <f>STDEV.S(OFFSET(D245, -(MIN(Inputs!$B$1, ROW()-1)-1), 0, MIN(Inputs!$B$1, ROW()-1), 1))</f>
        <v>0</v>
      </c>
      <c r="G245" s="2">
        <f>IF(F245=0, 0, (D245-E245)/F245)</f>
        <v>0</v>
      </c>
      <c r="H245">
        <f>IF(H244=0, IF(G245&gt;Inputs!$B$2, -1, IF(G245&lt;-Inputs!$B$2, 1, 0)), IF(AND(H244=1, G245&gt;-Inputs!$B$3), 0, IF(AND(H244=-1, G245&lt;Inputs!$B$3), 0, H244)))</f>
        <v>0</v>
      </c>
      <c r="I245" s="3">
        <f>(((B245/B244)-(C245/C244))*H244)-IF(H245&lt;&gt;H244, Inputs!$B$4, 0)</f>
        <v>0</v>
      </c>
      <c r="J245" s="2">
        <f>J244*(1+I245)</f>
        <v>0</v>
      </c>
      <c r="K245" s="3">
        <f>(B245-B244)/B244</f>
        <v>0</v>
      </c>
      <c r="L245" s="2">
        <f>MAX(J$2:J245)</f>
        <v>0</v>
      </c>
      <c r="M245" s="3">
        <f>(J245-L245)/L245</f>
        <v>0</v>
      </c>
    </row>
    <row r="246" spans="1:13">
      <c r="A246" t="s">
        <v>269</v>
      </c>
      <c r="B246" s="2">
        <v>37.245</v>
      </c>
      <c r="C246" s="2">
        <v>222.249504</v>
      </c>
      <c r="D246" s="2">
        <f>B246/C246</f>
        <v>0</v>
      </c>
      <c r="E246" s="2">
        <f>(D246*(2/(Inputs!$B$1+1)))+(E245*(1-(2/(Inputs!$B$1+1))))</f>
        <v>0</v>
      </c>
      <c r="F246" s="2">
        <f>STDEV.S(OFFSET(D246, -(MIN(Inputs!$B$1, ROW()-1)-1), 0, MIN(Inputs!$B$1, ROW()-1), 1))</f>
        <v>0</v>
      </c>
      <c r="G246" s="2">
        <f>IF(F246=0, 0, (D246-E246)/F246)</f>
        <v>0</v>
      </c>
      <c r="H246">
        <f>IF(H245=0, IF(G246&gt;Inputs!$B$2, -1, IF(G246&lt;-Inputs!$B$2, 1, 0)), IF(AND(H245=1, G246&gt;-Inputs!$B$3), 0, IF(AND(H245=-1, G246&lt;Inputs!$B$3), 0, H245)))</f>
        <v>0</v>
      </c>
      <c r="I246" s="3">
        <f>(((B246/B245)-(C246/C245))*H245)-IF(H246&lt;&gt;H245, Inputs!$B$4, 0)</f>
        <v>0</v>
      </c>
      <c r="J246" s="2">
        <f>J245*(1+I246)</f>
        <v>0</v>
      </c>
      <c r="K246" s="3">
        <f>(B246-B245)/B245</f>
        <v>0</v>
      </c>
      <c r="L246" s="2">
        <f>MAX(J$2:J246)</f>
        <v>0</v>
      </c>
      <c r="M246" s="3">
        <f>(J246-L246)/L246</f>
        <v>0</v>
      </c>
    </row>
    <row r="247" spans="1:13">
      <c r="A247" t="s">
        <v>270</v>
      </c>
      <c r="B247" s="2">
        <v>36.2287</v>
      </c>
      <c r="C247" s="2">
        <v>214.2704</v>
      </c>
      <c r="D247" s="2">
        <f>B247/C247</f>
        <v>0</v>
      </c>
      <c r="E247" s="2">
        <f>(D247*(2/(Inputs!$B$1+1)))+(E246*(1-(2/(Inputs!$B$1+1))))</f>
        <v>0</v>
      </c>
      <c r="F247" s="2">
        <f>STDEV.S(OFFSET(D247, -(MIN(Inputs!$B$1, ROW()-1)-1), 0, MIN(Inputs!$B$1, ROW()-1), 1))</f>
        <v>0</v>
      </c>
      <c r="G247" s="2">
        <f>IF(F247=0, 0, (D247-E247)/F247)</f>
        <v>0</v>
      </c>
      <c r="H247">
        <f>IF(H246=0, IF(G247&gt;Inputs!$B$2, -1, IF(G247&lt;-Inputs!$B$2, 1, 0)), IF(AND(H246=1, G247&gt;-Inputs!$B$3), 0, IF(AND(H246=-1, G247&lt;Inputs!$B$3), 0, H246)))</f>
        <v>0</v>
      </c>
      <c r="I247" s="3">
        <f>(((B247/B246)-(C247/C246))*H246)-IF(H247&lt;&gt;H246, Inputs!$B$4, 0)</f>
        <v>0</v>
      </c>
      <c r="J247" s="2">
        <f>J246*(1+I247)</f>
        <v>0</v>
      </c>
      <c r="K247" s="3">
        <f>(B247-B246)/B246</f>
        <v>0</v>
      </c>
      <c r="L247" s="2">
        <f>MAX(J$2:J247)</f>
        <v>0</v>
      </c>
      <c r="M247" s="3">
        <f>(J247-L247)/L247</f>
        <v>0</v>
      </c>
    </row>
    <row r="248" spans="1:13">
      <c r="A248" t="s">
        <v>271</v>
      </c>
      <c r="B248" s="2">
        <v>38.3109</v>
      </c>
      <c r="C248" s="2">
        <v>229.4284152</v>
      </c>
      <c r="D248" s="2">
        <f>B248/C248</f>
        <v>0</v>
      </c>
      <c r="E248" s="2">
        <f>(D248*(2/(Inputs!$B$1+1)))+(E247*(1-(2/(Inputs!$B$1+1))))</f>
        <v>0</v>
      </c>
      <c r="F248" s="2">
        <f>STDEV.S(OFFSET(D248, -(MIN(Inputs!$B$1, ROW()-1)-1), 0, MIN(Inputs!$B$1, ROW()-1), 1))</f>
        <v>0</v>
      </c>
      <c r="G248" s="2">
        <f>IF(F248=0, 0, (D248-E248)/F248)</f>
        <v>0</v>
      </c>
      <c r="H248">
        <f>IF(H247=0, IF(G248&gt;Inputs!$B$2, -1, IF(G248&lt;-Inputs!$B$2, 1, 0)), IF(AND(H247=1, G248&gt;-Inputs!$B$3), 0, IF(AND(H247=-1, G248&lt;Inputs!$B$3), 0, H247)))</f>
        <v>0</v>
      </c>
      <c r="I248" s="3">
        <f>(((B248/B247)-(C248/C247))*H247)-IF(H248&lt;&gt;H247, Inputs!$B$4, 0)</f>
        <v>0</v>
      </c>
      <c r="J248" s="2">
        <f>J247*(1+I248)</f>
        <v>0</v>
      </c>
      <c r="K248" s="3">
        <f>(B248-B247)/B247</f>
        <v>0</v>
      </c>
      <c r="L248" s="2">
        <f>MAX(J$2:J248)</f>
        <v>0</v>
      </c>
      <c r="M248" s="3">
        <f>(J248-L248)/L248</f>
        <v>0</v>
      </c>
    </row>
    <row r="249" spans="1:13">
      <c r="A249" t="s">
        <v>272</v>
      </c>
      <c r="B249" s="2">
        <v>39.4024</v>
      </c>
      <c r="C249" s="2">
        <v>236.045656</v>
      </c>
      <c r="D249" s="2">
        <f>B249/C249</f>
        <v>0</v>
      </c>
      <c r="E249" s="2">
        <f>(D249*(2/(Inputs!$B$1+1)))+(E248*(1-(2/(Inputs!$B$1+1))))</f>
        <v>0</v>
      </c>
      <c r="F249" s="2">
        <f>STDEV.S(OFFSET(D249, -(MIN(Inputs!$B$1, ROW()-1)-1), 0, MIN(Inputs!$B$1, ROW()-1), 1))</f>
        <v>0</v>
      </c>
      <c r="G249" s="2">
        <f>IF(F249=0, 0, (D249-E249)/F249)</f>
        <v>0</v>
      </c>
      <c r="H249">
        <f>IF(H248=0, IF(G249&gt;Inputs!$B$2, -1, IF(G249&lt;-Inputs!$B$2, 1, 0)), IF(AND(H248=1, G249&gt;-Inputs!$B$3), 0, IF(AND(H248=-1, G249&lt;Inputs!$B$3), 0, H248)))</f>
        <v>0</v>
      </c>
      <c r="I249" s="3">
        <f>(((B249/B248)-(C249/C248))*H248)-IF(H249&lt;&gt;H248, Inputs!$B$4, 0)</f>
        <v>0</v>
      </c>
      <c r="J249" s="2">
        <f>J248*(1+I249)</f>
        <v>0</v>
      </c>
      <c r="K249" s="3">
        <f>(B249-B248)/B248</f>
        <v>0</v>
      </c>
      <c r="L249" s="2">
        <f>MAX(J$2:J249)</f>
        <v>0</v>
      </c>
      <c r="M249" s="3">
        <f>(J249-L249)/L249</f>
        <v>0</v>
      </c>
    </row>
    <row r="250" spans="1:13">
      <c r="A250" t="s">
        <v>273</v>
      </c>
      <c r="B250" s="2">
        <v>39.6721</v>
      </c>
      <c r="C250" s="2">
        <v>237.0369846</v>
      </c>
      <c r="D250" s="2">
        <f>B250/C250</f>
        <v>0</v>
      </c>
      <c r="E250" s="2">
        <f>(D250*(2/(Inputs!$B$1+1)))+(E249*(1-(2/(Inputs!$B$1+1))))</f>
        <v>0</v>
      </c>
      <c r="F250" s="2">
        <f>STDEV.S(OFFSET(D250, -(MIN(Inputs!$B$1, ROW()-1)-1), 0, MIN(Inputs!$B$1, ROW()-1), 1))</f>
        <v>0</v>
      </c>
      <c r="G250" s="2">
        <f>IF(F250=0, 0, (D250-E250)/F250)</f>
        <v>0</v>
      </c>
      <c r="H250">
        <f>IF(H249=0, IF(G250&gt;Inputs!$B$2, -1, IF(G250&lt;-Inputs!$B$2, 1, 0)), IF(AND(H249=1, G250&gt;-Inputs!$B$3), 0, IF(AND(H249=-1, G250&lt;Inputs!$B$3), 0, H249)))</f>
        <v>0</v>
      </c>
      <c r="I250" s="3">
        <f>(((B250/B249)-(C250/C249))*H249)-IF(H250&lt;&gt;H249, Inputs!$B$4, 0)</f>
        <v>0</v>
      </c>
      <c r="J250" s="2">
        <f>J249*(1+I250)</f>
        <v>0</v>
      </c>
      <c r="K250" s="3">
        <f>(B250-B249)/B249</f>
        <v>0</v>
      </c>
      <c r="L250" s="2">
        <f>MAX(J$2:J250)</f>
        <v>0</v>
      </c>
      <c r="M250" s="3">
        <f>(J250-L250)/L250</f>
        <v>0</v>
      </c>
    </row>
    <row r="251" spans="1:13">
      <c r="A251" t="s">
        <v>274</v>
      </c>
      <c r="B251" s="2">
        <v>40.4766</v>
      </c>
      <c r="C251" s="2">
        <v>242.7728472</v>
      </c>
      <c r="D251" s="2">
        <f>B251/C251</f>
        <v>0</v>
      </c>
      <c r="E251" s="2">
        <f>(D251*(2/(Inputs!$B$1+1)))+(E250*(1-(2/(Inputs!$B$1+1))))</f>
        <v>0</v>
      </c>
      <c r="F251" s="2">
        <f>STDEV.S(OFFSET(D251, -(MIN(Inputs!$B$1, ROW()-1)-1), 0, MIN(Inputs!$B$1, ROW()-1), 1))</f>
        <v>0</v>
      </c>
      <c r="G251" s="2">
        <f>IF(F251=0, 0, (D251-E251)/F251)</f>
        <v>0</v>
      </c>
      <c r="H251">
        <f>IF(H250=0, IF(G251&gt;Inputs!$B$2, -1, IF(G251&lt;-Inputs!$B$2, 1, 0)), IF(AND(H250=1, G251&gt;-Inputs!$B$3), 0, IF(AND(H250=-1, G251&lt;Inputs!$B$3), 0, H250)))</f>
        <v>0</v>
      </c>
      <c r="I251" s="3">
        <f>(((B251/B250)-(C251/C250))*H250)-IF(H251&lt;&gt;H250, Inputs!$B$4, 0)</f>
        <v>0</v>
      </c>
      <c r="J251" s="2">
        <f>J250*(1+I251)</f>
        <v>0</v>
      </c>
      <c r="K251" s="3">
        <f>(B251-B250)/B250</f>
        <v>0</v>
      </c>
      <c r="L251" s="2">
        <f>MAX(J$2:J251)</f>
        <v>0</v>
      </c>
      <c r="M251" s="3">
        <f>(J251-L251)/L251</f>
        <v>0</v>
      </c>
    </row>
    <row r="252" spans="1:13">
      <c r="A252" t="s">
        <v>275</v>
      </c>
      <c r="B252" s="2">
        <v>41.3605</v>
      </c>
      <c r="C252" s="2">
        <v>246.7157895</v>
      </c>
      <c r="D252" s="2">
        <f>B252/C252</f>
        <v>0</v>
      </c>
      <c r="E252" s="2">
        <f>(D252*(2/(Inputs!$B$1+1)))+(E251*(1-(2/(Inputs!$B$1+1))))</f>
        <v>0</v>
      </c>
      <c r="F252" s="2">
        <f>STDEV.S(OFFSET(D252, -(MIN(Inputs!$B$1, ROW()-1)-1), 0, MIN(Inputs!$B$1, ROW()-1), 1))</f>
        <v>0</v>
      </c>
      <c r="G252" s="2">
        <f>IF(F252=0, 0, (D252-E252)/F252)</f>
        <v>0</v>
      </c>
      <c r="H252">
        <f>IF(H251=0, IF(G252&gt;Inputs!$B$2, -1, IF(G252&lt;-Inputs!$B$2, 1, 0)), IF(AND(H251=1, G252&gt;-Inputs!$B$3), 0, IF(AND(H251=-1, G252&lt;Inputs!$B$3), 0, H251)))</f>
        <v>0</v>
      </c>
      <c r="I252" s="3">
        <f>(((B252/B251)-(C252/C251))*H251)-IF(H252&lt;&gt;H251, Inputs!$B$4, 0)</f>
        <v>0</v>
      </c>
      <c r="J252" s="2">
        <f>J251*(1+I252)</f>
        <v>0</v>
      </c>
      <c r="K252" s="3">
        <f>(B252-B251)/B251</f>
        <v>0</v>
      </c>
      <c r="L252" s="2">
        <f>MAX(J$2:J252)</f>
        <v>0</v>
      </c>
      <c r="M252" s="3">
        <f>(J252-L252)/L252</f>
        <v>0</v>
      </c>
    </row>
    <row r="253" spans="1:13">
      <c r="A253" t="s">
        <v>276</v>
      </c>
      <c r="B253" s="2">
        <v>41.0209</v>
      </c>
      <c r="C253" s="2">
        <v>245.627525</v>
      </c>
      <c r="D253" s="2">
        <f>B253/C253</f>
        <v>0</v>
      </c>
      <c r="E253" s="2">
        <f>(D253*(2/(Inputs!$B$1+1)))+(E252*(1-(2/(Inputs!$B$1+1))))</f>
        <v>0</v>
      </c>
      <c r="F253" s="2">
        <f>STDEV.S(OFFSET(D253, -(MIN(Inputs!$B$1, ROW()-1)-1), 0, MIN(Inputs!$B$1, ROW()-1), 1))</f>
        <v>0</v>
      </c>
      <c r="G253" s="2">
        <f>IF(F253=0, 0, (D253-E253)/F253)</f>
        <v>0</v>
      </c>
      <c r="H253">
        <f>IF(H252=0, IF(G253&gt;Inputs!$B$2, -1, IF(G253&lt;-Inputs!$B$2, 1, 0)), IF(AND(H252=1, G253&gt;-Inputs!$B$3), 0, IF(AND(H252=-1, G253&lt;Inputs!$B$3), 0, H252)))</f>
        <v>0</v>
      </c>
      <c r="I253" s="3">
        <f>(((B253/B252)-(C253/C252))*H252)-IF(H253&lt;&gt;H252, Inputs!$B$4, 0)</f>
        <v>0</v>
      </c>
      <c r="J253" s="2">
        <f>J252*(1+I253)</f>
        <v>0</v>
      </c>
      <c r="K253" s="3">
        <f>(B253-B252)/B252</f>
        <v>0</v>
      </c>
      <c r="L253" s="2">
        <f>MAX(J$2:J253)</f>
        <v>0</v>
      </c>
      <c r="M253" s="3">
        <f>(J253-L253)/L253</f>
        <v>0</v>
      </c>
    </row>
    <row r="254" spans="1:13">
      <c r="A254" t="s">
        <v>277</v>
      </c>
      <c r="B254" s="2">
        <v>41.7602</v>
      </c>
      <c r="C254" s="2">
        <v>249.7512311</v>
      </c>
      <c r="D254" s="2">
        <f>B254/C254</f>
        <v>0</v>
      </c>
      <c r="E254" s="2">
        <f>(D254*(2/(Inputs!$B$1+1)))+(E253*(1-(2/(Inputs!$B$1+1))))</f>
        <v>0</v>
      </c>
      <c r="F254" s="2">
        <f>STDEV.S(OFFSET(D254, -(MIN(Inputs!$B$1, ROW()-1)-1), 0, MIN(Inputs!$B$1, ROW()-1), 1))</f>
        <v>0</v>
      </c>
      <c r="G254" s="2">
        <f>IF(F254=0, 0, (D254-E254)/F254)</f>
        <v>0</v>
      </c>
      <c r="H254">
        <f>IF(H253=0, IF(G254&gt;Inputs!$B$2, -1, IF(G254&lt;-Inputs!$B$2, 1, 0)), IF(AND(H253=1, G254&gt;-Inputs!$B$3), 0, IF(AND(H253=-1, G254&lt;Inputs!$B$3), 0, H253)))</f>
        <v>0</v>
      </c>
      <c r="I254" s="3">
        <f>(((B254/B253)-(C254/C253))*H253)-IF(H254&lt;&gt;H253, Inputs!$B$4, 0)</f>
        <v>0</v>
      </c>
      <c r="J254" s="2">
        <f>J253*(1+I254)</f>
        <v>0</v>
      </c>
      <c r="K254" s="3">
        <f>(B254-B253)/B253</f>
        <v>0</v>
      </c>
      <c r="L254" s="2">
        <f>MAX(J$2:J254)</f>
        <v>0</v>
      </c>
      <c r="M254" s="3">
        <f>(J254-L254)/L254</f>
        <v>0</v>
      </c>
    </row>
    <row r="255" spans="1:13">
      <c r="A255" t="s">
        <v>278</v>
      </c>
      <c r="B255" s="2">
        <v>41.7002</v>
      </c>
      <c r="C255" s="2">
        <v>249.703098</v>
      </c>
      <c r="D255" s="2">
        <f>B255/C255</f>
        <v>0</v>
      </c>
      <c r="E255" s="2">
        <f>(D255*(2/(Inputs!$B$1+1)))+(E254*(1-(2/(Inputs!$B$1+1))))</f>
        <v>0</v>
      </c>
      <c r="F255" s="2">
        <f>STDEV.S(OFFSET(D255, -(MIN(Inputs!$B$1, ROW()-1)-1), 0, MIN(Inputs!$B$1, ROW()-1), 1))</f>
        <v>0</v>
      </c>
      <c r="G255" s="2">
        <f>IF(F255=0, 0, (D255-E255)/F255)</f>
        <v>0</v>
      </c>
      <c r="H255">
        <f>IF(H254=0, IF(G255&gt;Inputs!$B$2, -1, IF(G255&lt;-Inputs!$B$2, 1, 0)), IF(AND(H254=1, G255&gt;-Inputs!$B$3), 0, IF(AND(H254=-1, G255&lt;Inputs!$B$3), 0, H254)))</f>
        <v>0</v>
      </c>
      <c r="I255" s="3">
        <f>(((B255/B254)-(C255/C254))*H254)-IF(H255&lt;&gt;H254, Inputs!$B$4, 0)</f>
        <v>0</v>
      </c>
      <c r="J255" s="2">
        <f>J254*(1+I255)</f>
        <v>0</v>
      </c>
      <c r="K255" s="3">
        <f>(B255-B254)/B254</f>
        <v>0</v>
      </c>
      <c r="L255" s="2">
        <f>MAX(J$2:J255)</f>
        <v>0</v>
      </c>
      <c r="M255" s="3">
        <f>(J255-L255)/L255</f>
        <v>0</v>
      </c>
    </row>
    <row r="256" spans="1:13">
      <c r="A256" t="s">
        <v>279</v>
      </c>
      <c r="B256" s="2">
        <v>41.945</v>
      </c>
      <c r="C256" s="2">
        <v>253.0618064</v>
      </c>
      <c r="D256" s="2">
        <f>B256/C256</f>
        <v>0</v>
      </c>
      <c r="E256" s="2">
        <f>(D256*(2/(Inputs!$B$1+1)))+(E255*(1-(2/(Inputs!$B$1+1))))</f>
        <v>0</v>
      </c>
      <c r="F256" s="2">
        <f>STDEV.S(OFFSET(D256, -(MIN(Inputs!$B$1, ROW()-1)-1), 0, MIN(Inputs!$B$1, ROW()-1), 1))</f>
        <v>0</v>
      </c>
      <c r="G256" s="2">
        <f>IF(F256=0, 0, (D256-E256)/F256)</f>
        <v>0</v>
      </c>
      <c r="H256">
        <f>IF(H255=0, IF(G256&gt;Inputs!$B$2, -1, IF(G256&lt;-Inputs!$B$2, 1, 0)), IF(AND(H255=1, G256&gt;-Inputs!$B$3), 0, IF(AND(H255=-1, G256&lt;Inputs!$B$3), 0, H255)))</f>
        <v>0</v>
      </c>
      <c r="I256" s="3">
        <f>(((B256/B255)-(C256/C255))*H255)-IF(H256&lt;&gt;H255, Inputs!$B$4, 0)</f>
        <v>0</v>
      </c>
      <c r="J256" s="2">
        <f>J255*(1+I256)</f>
        <v>0</v>
      </c>
      <c r="K256" s="3">
        <f>(B256-B255)/B255</f>
        <v>0</v>
      </c>
      <c r="L256" s="2">
        <f>MAX(J$2:J256)</f>
        <v>0</v>
      </c>
      <c r="M256" s="3">
        <f>(J256-L256)/L256</f>
        <v>0</v>
      </c>
    </row>
    <row r="257" spans="1:13">
      <c r="A257" t="s">
        <v>280</v>
      </c>
      <c r="B257" s="2">
        <v>42.4745</v>
      </c>
      <c r="C257" s="2">
        <v>253.2521628</v>
      </c>
      <c r="D257" s="2">
        <f>B257/C257</f>
        <v>0</v>
      </c>
      <c r="E257" s="2">
        <f>(D257*(2/(Inputs!$B$1+1)))+(E256*(1-(2/(Inputs!$B$1+1))))</f>
        <v>0</v>
      </c>
      <c r="F257" s="2">
        <f>STDEV.S(OFFSET(D257, -(MIN(Inputs!$B$1, ROW()-1)-1), 0, MIN(Inputs!$B$1, ROW()-1), 1))</f>
        <v>0</v>
      </c>
      <c r="G257" s="2">
        <f>IF(F257=0, 0, (D257-E257)/F257)</f>
        <v>0</v>
      </c>
      <c r="H257">
        <f>IF(H256=0, IF(G257&gt;Inputs!$B$2, -1, IF(G257&lt;-Inputs!$B$2, 1, 0)), IF(AND(H256=1, G257&gt;-Inputs!$B$3), 0, IF(AND(H256=-1, G257&lt;Inputs!$B$3), 0, H256)))</f>
        <v>0</v>
      </c>
      <c r="I257" s="3">
        <f>(((B257/B256)-(C257/C256))*H256)-IF(H257&lt;&gt;H256, Inputs!$B$4, 0)</f>
        <v>0</v>
      </c>
      <c r="J257" s="2">
        <f>J256*(1+I257)</f>
        <v>0</v>
      </c>
      <c r="K257" s="3">
        <f>(B257-B256)/B256</f>
        <v>0</v>
      </c>
      <c r="L257" s="2">
        <f>MAX(J$2:J257)</f>
        <v>0</v>
      </c>
      <c r="M257" s="3">
        <f>(J257-L257)/L257</f>
        <v>0</v>
      </c>
    </row>
    <row r="258" spans="1:13">
      <c r="A258" t="s">
        <v>281</v>
      </c>
      <c r="B258" s="2">
        <v>41.7751</v>
      </c>
      <c r="C258" s="2">
        <v>250.3250367</v>
      </c>
      <c r="D258" s="2">
        <f>B258/C258</f>
        <v>0</v>
      </c>
      <c r="E258" s="2">
        <f>(D258*(2/(Inputs!$B$1+1)))+(E257*(1-(2/(Inputs!$B$1+1))))</f>
        <v>0</v>
      </c>
      <c r="F258" s="2">
        <f>STDEV.S(OFFSET(D258, -(MIN(Inputs!$B$1, ROW()-1)-1), 0, MIN(Inputs!$B$1, ROW()-1), 1))</f>
        <v>0</v>
      </c>
      <c r="G258" s="2">
        <f>IF(F258=0, 0, (D258-E258)/F258)</f>
        <v>0</v>
      </c>
      <c r="H258">
        <f>IF(H257=0, IF(G258&gt;Inputs!$B$2, -1, IF(G258&lt;-Inputs!$B$2, 1, 0)), IF(AND(H257=1, G258&gt;-Inputs!$B$3), 0, IF(AND(H257=-1, G258&lt;Inputs!$B$3), 0, H257)))</f>
        <v>0</v>
      </c>
      <c r="I258" s="3">
        <f>(((B258/B257)-(C258/C257))*H257)-IF(H258&lt;&gt;H257, Inputs!$B$4, 0)</f>
        <v>0</v>
      </c>
      <c r="J258" s="2">
        <f>J257*(1+I258)</f>
        <v>0</v>
      </c>
      <c r="K258" s="3">
        <f>(B258-B257)/B257</f>
        <v>0</v>
      </c>
      <c r="L258" s="2">
        <f>MAX(J$2:J258)</f>
        <v>0</v>
      </c>
      <c r="M258" s="3">
        <f>(J258-L258)/L258</f>
        <v>0</v>
      </c>
    </row>
    <row r="259" spans="1:13">
      <c r="A259" t="s">
        <v>282</v>
      </c>
      <c r="B259" s="2">
        <v>43.1738</v>
      </c>
      <c r="C259" s="2">
        <v>258.0306134</v>
      </c>
      <c r="D259" s="2">
        <f>B259/C259</f>
        <v>0</v>
      </c>
      <c r="E259" s="2">
        <f>(D259*(2/(Inputs!$B$1+1)))+(E258*(1-(2/(Inputs!$B$1+1))))</f>
        <v>0</v>
      </c>
      <c r="F259" s="2">
        <f>STDEV.S(OFFSET(D259, -(MIN(Inputs!$B$1, ROW()-1)-1), 0, MIN(Inputs!$B$1, ROW()-1), 1))</f>
        <v>0</v>
      </c>
      <c r="G259" s="2">
        <f>IF(F259=0, 0, (D259-E259)/F259)</f>
        <v>0</v>
      </c>
      <c r="H259">
        <f>IF(H258=0, IF(G259&gt;Inputs!$B$2, -1, IF(G259&lt;-Inputs!$B$2, 1, 0)), IF(AND(H258=1, G259&gt;-Inputs!$B$3), 0, IF(AND(H258=-1, G259&lt;Inputs!$B$3), 0, H258)))</f>
        <v>0</v>
      </c>
      <c r="I259" s="3">
        <f>(((B259/B258)-(C259/C258))*H258)-IF(H259&lt;&gt;H258, Inputs!$B$4, 0)</f>
        <v>0</v>
      </c>
      <c r="J259" s="2">
        <f>J258*(1+I259)</f>
        <v>0</v>
      </c>
      <c r="K259" s="3">
        <f>(B259-B258)/B258</f>
        <v>0</v>
      </c>
      <c r="L259" s="2">
        <f>MAX(J$2:J259)</f>
        <v>0</v>
      </c>
      <c r="M259" s="3">
        <f>(J259-L259)/L259</f>
        <v>0</v>
      </c>
    </row>
    <row r="260" spans="1:13">
      <c r="A260" t="s">
        <v>283</v>
      </c>
      <c r="B260" s="2">
        <v>42.4895</v>
      </c>
      <c r="C260" s="2">
        <v>252.2686644</v>
      </c>
      <c r="D260" s="2">
        <f>B260/C260</f>
        <v>0</v>
      </c>
      <c r="E260" s="2">
        <f>(D260*(2/(Inputs!$B$1+1)))+(E259*(1-(2/(Inputs!$B$1+1))))</f>
        <v>0</v>
      </c>
      <c r="F260" s="2">
        <f>STDEV.S(OFFSET(D260, -(MIN(Inputs!$B$1, ROW()-1)-1), 0, MIN(Inputs!$B$1, ROW()-1), 1))</f>
        <v>0</v>
      </c>
      <c r="G260" s="2">
        <f>IF(F260=0, 0, (D260-E260)/F260)</f>
        <v>0</v>
      </c>
      <c r="H260">
        <f>IF(H259=0, IF(G260&gt;Inputs!$B$2, -1, IF(G260&lt;-Inputs!$B$2, 1, 0)), IF(AND(H259=1, G260&gt;-Inputs!$B$3), 0, IF(AND(H259=-1, G260&lt;Inputs!$B$3), 0, H259)))</f>
        <v>0</v>
      </c>
      <c r="I260" s="3">
        <f>(((B260/B259)-(C260/C259))*H259)-IF(H260&lt;&gt;H259, Inputs!$B$4, 0)</f>
        <v>0</v>
      </c>
      <c r="J260" s="2">
        <f>J259*(1+I260)</f>
        <v>0</v>
      </c>
      <c r="K260" s="3">
        <f>(B260-B259)/B259</f>
        <v>0</v>
      </c>
      <c r="L260" s="2">
        <f>MAX(J$2:J260)</f>
        <v>0</v>
      </c>
      <c r="M260" s="3">
        <f>(J260-L260)/L260</f>
        <v>0</v>
      </c>
    </row>
    <row r="261" spans="1:13">
      <c r="A261" t="s">
        <v>284</v>
      </c>
      <c r="B261" s="2">
        <v>42.6443</v>
      </c>
      <c r="C261" s="2">
        <v>256.240521</v>
      </c>
      <c r="D261" s="2">
        <f>B261/C261</f>
        <v>0</v>
      </c>
      <c r="E261" s="2">
        <f>(D261*(2/(Inputs!$B$1+1)))+(E260*(1-(2/(Inputs!$B$1+1))))</f>
        <v>0</v>
      </c>
      <c r="F261" s="2">
        <f>STDEV.S(OFFSET(D261, -(MIN(Inputs!$B$1, ROW()-1)-1), 0, MIN(Inputs!$B$1, ROW()-1), 1))</f>
        <v>0</v>
      </c>
      <c r="G261" s="2">
        <f>IF(F261=0, 0, (D261-E261)/F261)</f>
        <v>0</v>
      </c>
      <c r="H261">
        <f>IF(H260=0, IF(G261&gt;Inputs!$B$2, -1, IF(G261&lt;-Inputs!$B$2, 1, 0)), IF(AND(H260=1, G261&gt;-Inputs!$B$3), 0, IF(AND(H260=-1, G261&lt;Inputs!$B$3), 0, H260)))</f>
        <v>0</v>
      </c>
      <c r="I261" s="3">
        <f>(((B261/B260)-(C261/C260))*H260)-IF(H261&lt;&gt;H260, Inputs!$B$4, 0)</f>
        <v>0</v>
      </c>
      <c r="J261" s="2">
        <f>J260*(1+I261)</f>
        <v>0</v>
      </c>
      <c r="K261" s="3">
        <f>(B261-B260)/B260</f>
        <v>0</v>
      </c>
      <c r="L261" s="2">
        <f>MAX(J$2:J261)</f>
        <v>0</v>
      </c>
      <c r="M261" s="3">
        <f>(J261-L261)/L261</f>
        <v>0</v>
      </c>
    </row>
    <row r="262" spans="1:13">
      <c r="A262" t="s">
        <v>285</v>
      </c>
      <c r="B262" s="2">
        <v>43.7782</v>
      </c>
      <c r="C262" s="2">
        <v>260.0604596</v>
      </c>
      <c r="D262" s="2">
        <f>B262/C262</f>
        <v>0</v>
      </c>
      <c r="E262" s="2">
        <f>(D262*(2/(Inputs!$B$1+1)))+(E261*(1-(2/(Inputs!$B$1+1))))</f>
        <v>0</v>
      </c>
      <c r="F262" s="2">
        <f>STDEV.S(OFFSET(D262, -(MIN(Inputs!$B$1, ROW()-1)-1), 0, MIN(Inputs!$B$1, ROW()-1), 1))</f>
        <v>0</v>
      </c>
      <c r="G262" s="2">
        <f>IF(F262=0, 0, (D262-E262)/F262)</f>
        <v>0</v>
      </c>
      <c r="H262">
        <f>IF(H261=0, IF(G262&gt;Inputs!$B$2, -1, IF(G262&lt;-Inputs!$B$2, 1, 0)), IF(AND(H261=1, G262&gt;-Inputs!$B$3), 0, IF(AND(H261=-1, G262&lt;Inputs!$B$3), 0, H261)))</f>
        <v>0</v>
      </c>
      <c r="I262" s="3">
        <f>(((B262/B261)-(C262/C261))*H261)-IF(H262&lt;&gt;H261, Inputs!$B$4, 0)</f>
        <v>0</v>
      </c>
      <c r="J262" s="2">
        <f>J261*(1+I262)</f>
        <v>0</v>
      </c>
      <c r="K262" s="3">
        <f>(B262-B261)/B261</f>
        <v>0</v>
      </c>
      <c r="L262" s="2">
        <f>MAX(J$2:J262)</f>
        <v>0</v>
      </c>
      <c r="M262" s="3">
        <f>(J262-L262)/L262</f>
        <v>0</v>
      </c>
    </row>
    <row r="263" spans="1:13">
      <c r="A263" t="s">
        <v>286</v>
      </c>
      <c r="B263" s="2">
        <v>43.5335</v>
      </c>
      <c r="C263" s="2">
        <v>259.3590595</v>
      </c>
      <c r="D263" s="2">
        <f>B263/C263</f>
        <v>0</v>
      </c>
      <c r="E263" s="2">
        <f>(D263*(2/(Inputs!$B$1+1)))+(E262*(1-(2/(Inputs!$B$1+1))))</f>
        <v>0</v>
      </c>
      <c r="F263" s="2">
        <f>STDEV.S(OFFSET(D263, -(MIN(Inputs!$B$1, ROW()-1)-1), 0, MIN(Inputs!$B$1, ROW()-1), 1))</f>
        <v>0</v>
      </c>
      <c r="G263" s="2">
        <f>IF(F263=0, 0, (D263-E263)/F263)</f>
        <v>0</v>
      </c>
      <c r="H263">
        <f>IF(H262=0, IF(G263&gt;Inputs!$B$2, -1, IF(G263&lt;-Inputs!$B$2, 1, 0)), IF(AND(H262=1, G263&gt;-Inputs!$B$3), 0, IF(AND(H262=-1, G263&lt;Inputs!$B$3), 0, H262)))</f>
        <v>0</v>
      </c>
      <c r="I263" s="3">
        <f>(((B263/B262)-(C263/C262))*H262)-IF(H263&lt;&gt;H262, Inputs!$B$4, 0)</f>
        <v>0</v>
      </c>
      <c r="J263" s="2">
        <f>J262*(1+I263)</f>
        <v>0</v>
      </c>
      <c r="K263" s="3">
        <f>(B263-B262)/B262</f>
        <v>0</v>
      </c>
      <c r="L263" s="2">
        <f>MAX(J$2:J263)</f>
        <v>0</v>
      </c>
      <c r="M263" s="3">
        <f>(J263-L263)/L263</f>
        <v>0</v>
      </c>
    </row>
    <row r="264" spans="1:13">
      <c r="A264" t="s">
        <v>287</v>
      </c>
      <c r="B264" s="2">
        <v>44.023</v>
      </c>
      <c r="C264" s="2">
        <v>256.5375605999999</v>
      </c>
      <c r="D264" s="2">
        <f>B264/C264</f>
        <v>0</v>
      </c>
      <c r="E264" s="2">
        <f>(D264*(2/(Inputs!$B$1+1)))+(E263*(1-(2/(Inputs!$B$1+1))))</f>
        <v>0</v>
      </c>
      <c r="F264" s="2">
        <f>STDEV.S(OFFSET(D264, -(MIN(Inputs!$B$1, ROW()-1)-1), 0, MIN(Inputs!$B$1, ROW()-1), 1))</f>
        <v>0</v>
      </c>
      <c r="G264" s="2">
        <f>IF(F264=0, 0, (D264-E264)/F264)</f>
        <v>0</v>
      </c>
      <c r="H264">
        <f>IF(H263=0, IF(G264&gt;Inputs!$B$2, -1, IF(G264&lt;-Inputs!$B$2, 1, 0)), IF(AND(H263=1, G264&gt;-Inputs!$B$3), 0, IF(AND(H263=-1, G264&lt;Inputs!$B$3), 0, H263)))</f>
        <v>0</v>
      </c>
      <c r="I264" s="3">
        <f>(((B264/B263)-(C264/C263))*H263)-IF(H264&lt;&gt;H263, Inputs!$B$4, 0)</f>
        <v>0</v>
      </c>
      <c r="J264" s="2">
        <f>J263*(1+I264)</f>
        <v>0</v>
      </c>
      <c r="K264" s="3">
        <f>(B264-B263)/B263</f>
        <v>0</v>
      </c>
      <c r="L264" s="2">
        <f>MAX(J$2:J264)</f>
        <v>0</v>
      </c>
      <c r="M264" s="3">
        <f>(J264-L264)/L264</f>
        <v>0</v>
      </c>
    </row>
    <row r="265" spans="1:13">
      <c r="A265" t="s">
        <v>288</v>
      </c>
      <c r="B265" s="2">
        <v>43.5484</v>
      </c>
      <c r="C265" s="2">
        <v>260.2245216</v>
      </c>
      <c r="D265" s="2">
        <f>B265/C265</f>
        <v>0</v>
      </c>
      <c r="E265" s="2">
        <f>(D265*(2/(Inputs!$B$1+1)))+(E264*(1-(2/(Inputs!$B$1+1))))</f>
        <v>0</v>
      </c>
      <c r="F265" s="2">
        <f>STDEV.S(OFFSET(D265, -(MIN(Inputs!$B$1, ROW()-1)-1), 0, MIN(Inputs!$B$1, ROW()-1), 1))</f>
        <v>0</v>
      </c>
      <c r="G265" s="2">
        <f>IF(F265=0, 0, (D265-E265)/F265)</f>
        <v>0</v>
      </c>
      <c r="H265">
        <f>IF(H264=0, IF(G265&gt;Inputs!$B$2, -1, IF(G265&lt;-Inputs!$B$2, 1, 0)), IF(AND(H264=1, G265&gt;-Inputs!$B$3), 0, IF(AND(H264=-1, G265&lt;Inputs!$B$3), 0, H264)))</f>
        <v>0</v>
      </c>
      <c r="I265" s="3">
        <f>(((B265/B264)-(C265/C264))*H264)-IF(H265&lt;&gt;H264, Inputs!$B$4, 0)</f>
        <v>0</v>
      </c>
      <c r="J265" s="2">
        <f>J264*(1+I265)</f>
        <v>0</v>
      </c>
      <c r="K265" s="3">
        <f>(B265-B264)/B264</f>
        <v>0</v>
      </c>
      <c r="L265" s="2">
        <f>MAX(J$2:J265)</f>
        <v>0</v>
      </c>
      <c r="M265" s="3">
        <f>(J265-L265)/L265</f>
        <v>0</v>
      </c>
    </row>
    <row r="266" spans="1:13">
      <c r="A266" t="s">
        <v>289</v>
      </c>
      <c r="B266" s="2">
        <v>44.1828</v>
      </c>
      <c r="C266" s="2">
        <v>263.26742</v>
      </c>
      <c r="D266" s="2">
        <f>B266/C266</f>
        <v>0</v>
      </c>
      <c r="E266" s="2">
        <f>(D266*(2/(Inputs!$B$1+1)))+(E265*(1-(2/(Inputs!$B$1+1))))</f>
        <v>0</v>
      </c>
      <c r="F266" s="2">
        <f>STDEV.S(OFFSET(D266, -(MIN(Inputs!$B$1, ROW()-1)-1), 0, MIN(Inputs!$B$1, ROW()-1), 1))</f>
        <v>0</v>
      </c>
      <c r="G266" s="2">
        <f>IF(F266=0, 0, (D266-E266)/F266)</f>
        <v>0</v>
      </c>
      <c r="H266">
        <f>IF(H265=0, IF(G266&gt;Inputs!$B$2, -1, IF(G266&lt;-Inputs!$B$2, 1, 0)), IF(AND(H265=1, G266&gt;-Inputs!$B$3), 0, IF(AND(H265=-1, G266&lt;Inputs!$B$3), 0, H265)))</f>
        <v>0</v>
      </c>
      <c r="I266" s="3">
        <f>(((B266/B265)-(C266/C265))*H265)-IF(H266&lt;&gt;H265, Inputs!$B$4, 0)</f>
        <v>0</v>
      </c>
      <c r="J266" s="2">
        <f>J265*(1+I266)</f>
        <v>0</v>
      </c>
      <c r="K266" s="3">
        <f>(B266-B265)/B265</f>
        <v>0</v>
      </c>
      <c r="L266" s="2">
        <f>MAX(J$2:J266)</f>
        <v>0</v>
      </c>
      <c r="M266" s="3">
        <f>(J266-L266)/L266</f>
        <v>0</v>
      </c>
    </row>
    <row r="267" spans="1:13">
      <c r="A267" t="s">
        <v>290</v>
      </c>
      <c r="B267" s="2">
        <v>44.1129</v>
      </c>
      <c r="C267" s="2">
        <v>263.3811222</v>
      </c>
      <c r="D267" s="2">
        <f>B267/C267</f>
        <v>0</v>
      </c>
      <c r="E267" s="2">
        <f>(D267*(2/(Inputs!$B$1+1)))+(E266*(1-(2/(Inputs!$B$1+1))))</f>
        <v>0</v>
      </c>
      <c r="F267" s="2">
        <f>STDEV.S(OFFSET(D267, -(MIN(Inputs!$B$1, ROW()-1)-1), 0, MIN(Inputs!$B$1, ROW()-1), 1))</f>
        <v>0</v>
      </c>
      <c r="G267" s="2">
        <f>IF(F267=0, 0, (D267-E267)/F267)</f>
        <v>0</v>
      </c>
      <c r="H267">
        <f>IF(H266=0, IF(G267&gt;Inputs!$B$2, -1, IF(G267&lt;-Inputs!$B$2, 1, 0)), IF(AND(H266=1, G267&gt;-Inputs!$B$3), 0, IF(AND(H266=-1, G267&lt;Inputs!$B$3), 0, H266)))</f>
        <v>0</v>
      </c>
      <c r="I267" s="3">
        <f>(((B267/B266)-(C267/C266))*H266)-IF(H267&lt;&gt;H266, Inputs!$B$4, 0)</f>
        <v>0</v>
      </c>
      <c r="J267" s="2">
        <f>J266*(1+I267)</f>
        <v>0</v>
      </c>
      <c r="K267" s="3">
        <f>(B267-B266)/B266</f>
        <v>0</v>
      </c>
      <c r="L267" s="2">
        <f>MAX(J$2:J267)</f>
        <v>0</v>
      </c>
      <c r="M267" s="3">
        <f>(J267-L267)/L267</f>
        <v>0</v>
      </c>
    </row>
    <row r="268" spans="1:13">
      <c r="A268" t="s">
        <v>291</v>
      </c>
      <c r="B268" s="2">
        <v>44.7523</v>
      </c>
      <c r="C268" s="2">
        <v>267.725274</v>
      </c>
      <c r="D268" s="2">
        <f>B268/C268</f>
        <v>0</v>
      </c>
      <c r="E268" s="2">
        <f>(D268*(2/(Inputs!$B$1+1)))+(E267*(1-(2/(Inputs!$B$1+1))))</f>
        <v>0</v>
      </c>
      <c r="F268" s="2">
        <f>STDEV.S(OFFSET(D268, -(MIN(Inputs!$B$1, ROW()-1)-1), 0, MIN(Inputs!$B$1, ROW()-1), 1))</f>
        <v>0</v>
      </c>
      <c r="G268" s="2">
        <f>IF(F268=0, 0, (D268-E268)/F268)</f>
        <v>0</v>
      </c>
      <c r="H268">
        <f>IF(H267=0, IF(G268&gt;Inputs!$B$2, -1, IF(G268&lt;-Inputs!$B$2, 1, 0)), IF(AND(H267=1, G268&gt;-Inputs!$B$3), 0, IF(AND(H267=-1, G268&lt;Inputs!$B$3), 0, H267)))</f>
        <v>0</v>
      </c>
      <c r="I268" s="3">
        <f>(((B268/B267)-(C268/C267))*H267)-IF(H268&lt;&gt;H267, Inputs!$B$4, 0)</f>
        <v>0</v>
      </c>
      <c r="J268" s="2">
        <f>J267*(1+I268)</f>
        <v>0</v>
      </c>
      <c r="K268" s="3">
        <f>(B268-B267)/B267</f>
        <v>0</v>
      </c>
      <c r="L268" s="2">
        <f>MAX(J$2:J268)</f>
        <v>0</v>
      </c>
      <c r="M268" s="3">
        <f>(J268-L268)/L268</f>
        <v>0</v>
      </c>
    </row>
    <row r="269" spans="1:13">
      <c r="A269" t="s">
        <v>292</v>
      </c>
      <c r="B269" s="2">
        <v>45.4516</v>
      </c>
      <c r="C269" s="2">
        <v>272.9001408</v>
      </c>
      <c r="D269" s="2">
        <f>B269/C269</f>
        <v>0</v>
      </c>
      <c r="E269" s="2">
        <f>(D269*(2/(Inputs!$B$1+1)))+(E268*(1-(2/(Inputs!$B$1+1))))</f>
        <v>0</v>
      </c>
      <c r="F269" s="2">
        <f>STDEV.S(OFFSET(D269, -(MIN(Inputs!$B$1, ROW()-1)-1), 0, MIN(Inputs!$B$1, ROW()-1), 1))</f>
        <v>0</v>
      </c>
      <c r="G269" s="2">
        <f>IF(F269=0, 0, (D269-E269)/F269)</f>
        <v>0</v>
      </c>
      <c r="H269">
        <f>IF(H268=0, IF(G269&gt;Inputs!$B$2, -1, IF(G269&lt;-Inputs!$B$2, 1, 0)), IF(AND(H268=1, G269&gt;-Inputs!$B$3), 0, IF(AND(H268=-1, G269&lt;Inputs!$B$3), 0, H268)))</f>
        <v>0</v>
      </c>
      <c r="I269" s="3">
        <f>(((B269/B268)-(C269/C268))*H268)-IF(H269&lt;&gt;H268, Inputs!$B$4, 0)</f>
        <v>0</v>
      </c>
      <c r="J269" s="2">
        <f>J268*(1+I269)</f>
        <v>0</v>
      </c>
      <c r="K269" s="3">
        <f>(B269-B268)/B268</f>
        <v>0</v>
      </c>
      <c r="L269" s="2">
        <f>MAX(J$2:J269)</f>
        <v>0</v>
      </c>
      <c r="M269" s="3">
        <f>(J269-L269)/L269</f>
        <v>0</v>
      </c>
    </row>
    <row r="270" spans="1:13">
      <c r="A270" t="s">
        <v>293</v>
      </c>
      <c r="B270" s="2">
        <v>44.8272</v>
      </c>
      <c r="C270" s="2">
        <v>266.831415</v>
      </c>
      <c r="D270" s="2">
        <f>B270/C270</f>
        <v>0</v>
      </c>
      <c r="E270" s="2">
        <f>(D270*(2/(Inputs!$B$1+1)))+(E269*(1-(2/(Inputs!$B$1+1))))</f>
        <v>0</v>
      </c>
      <c r="F270" s="2">
        <f>STDEV.S(OFFSET(D270, -(MIN(Inputs!$B$1, ROW()-1)-1), 0, MIN(Inputs!$B$1, ROW()-1), 1))</f>
        <v>0</v>
      </c>
      <c r="G270" s="2">
        <f>IF(F270=0, 0, (D270-E270)/F270)</f>
        <v>0</v>
      </c>
      <c r="H270">
        <f>IF(H269=0, IF(G270&gt;Inputs!$B$2, -1, IF(G270&lt;-Inputs!$B$2, 1, 0)), IF(AND(H269=1, G270&gt;-Inputs!$B$3), 0, IF(AND(H269=-1, G270&lt;Inputs!$B$3), 0, H269)))</f>
        <v>0</v>
      </c>
      <c r="I270" s="3">
        <f>(((B270/B269)-(C270/C269))*H269)-IF(H270&lt;&gt;H269, Inputs!$B$4, 0)</f>
        <v>0</v>
      </c>
      <c r="J270" s="2">
        <f>J269*(1+I270)</f>
        <v>0</v>
      </c>
      <c r="K270" s="3">
        <f>(B270-B269)/B269</f>
        <v>0</v>
      </c>
      <c r="L270" s="2">
        <f>MAX(J$2:J270)</f>
        <v>0</v>
      </c>
      <c r="M270" s="3">
        <f>(J270-L270)/L270</f>
        <v>0</v>
      </c>
    </row>
    <row r="271" spans="1:13">
      <c r="A271" t="s">
        <v>294</v>
      </c>
      <c r="B271" s="2">
        <v>46.3108</v>
      </c>
      <c r="C271" s="2">
        <v>273.5989067</v>
      </c>
      <c r="D271" s="2">
        <f>B271/C271</f>
        <v>0</v>
      </c>
      <c r="E271" s="2">
        <f>(D271*(2/(Inputs!$B$1+1)))+(E270*(1-(2/(Inputs!$B$1+1))))</f>
        <v>0</v>
      </c>
      <c r="F271" s="2">
        <f>STDEV.S(OFFSET(D271, -(MIN(Inputs!$B$1, ROW()-1)-1), 0, MIN(Inputs!$B$1, ROW()-1), 1))</f>
        <v>0</v>
      </c>
      <c r="G271" s="2">
        <f>IF(F271=0, 0, (D271-E271)/F271)</f>
        <v>0</v>
      </c>
      <c r="H271">
        <f>IF(H270=0, IF(G271&gt;Inputs!$B$2, -1, IF(G271&lt;-Inputs!$B$2, 1, 0)), IF(AND(H270=1, G271&gt;-Inputs!$B$3), 0, IF(AND(H270=-1, G271&lt;Inputs!$B$3), 0, H270)))</f>
        <v>0</v>
      </c>
      <c r="I271" s="3">
        <f>(((B271/B270)-(C271/C270))*H270)-IF(H271&lt;&gt;H270, Inputs!$B$4, 0)</f>
        <v>0</v>
      </c>
      <c r="J271" s="2">
        <f>J270*(1+I271)</f>
        <v>0</v>
      </c>
      <c r="K271" s="3">
        <f>(B271-B270)/B270</f>
        <v>0</v>
      </c>
      <c r="L271" s="2">
        <f>MAX(J$2:J271)</f>
        <v>0</v>
      </c>
      <c r="M271" s="3">
        <f>(J271-L271)/L271</f>
        <v>0</v>
      </c>
    </row>
    <row r="272" spans="1:13">
      <c r="A272" t="s">
        <v>295</v>
      </c>
      <c r="B272" s="2">
        <v>42.5844</v>
      </c>
      <c r="C272" s="2">
        <v>252.4473</v>
      </c>
      <c r="D272" s="2">
        <f>B272/C272</f>
        <v>0</v>
      </c>
      <c r="E272" s="2">
        <f>(D272*(2/(Inputs!$B$1+1)))+(E271*(1-(2/(Inputs!$B$1+1))))</f>
        <v>0</v>
      </c>
      <c r="F272" s="2">
        <f>STDEV.S(OFFSET(D272, -(MIN(Inputs!$B$1, ROW()-1)-1), 0, MIN(Inputs!$B$1, ROW()-1), 1))</f>
        <v>0</v>
      </c>
      <c r="G272" s="2">
        <f>IF(F272=0, 0, (D272-E272)/F272)</f>
        <v>0</v>
      </c>
      <c r="H272">
        <f>IF(H271=0, IF(G272&gt;Inputs!$B$2, -1, IF(G272&lt;-Inputs!$B$2, 1, 0)), IF(AND(H271=1, G272&gt;-Inputs!$B$3), 0, IF(AND(H271=-1, G272&lt;Inputs!$B$3), 0, H271)))</f>
        <v>0</v>
      </c>
      <c r="I272" s="3">
        <f>(((B272/B271)-(C272/C271))*H271)-IF(H272&lt;&gt;H271, Inputs!$B$4, 0)</f>
        <v>0</v>
      </c>
      <c r="J272" s="2">
        <f>J271*(1+I272)</f>
        <v>0</v>
      </c>
      <c r="K272" s="3">
        <f>(B272-B271)/B271</f>
        <v>0</v>
      </c>
      <c r="L272" s="2">
        <f>MAX(J$2:J272)</f>
        <v>0</v>
      </c>
      <c r="M272" s="3">
        <f>(J272-L272)/L272</f>
        <v>0</v>
      </c>
    </row>
    <row r="273" spans="1:13">
      <c r="A273" t="s">
        <v>296</v>
      </c>
      <c r="B273" s="2">
        <v>42.5694</v>
      </c>
      <c r="C273" s="2">
        <v>255.31776</v>
      </c>
      <c r="D273" s="2">
        <f>B273/C273</f>
        <v>0</v>
      </c>
      <c r="E273" s="2">
        <f>(D273*(2/(Inputs!$B$1+1)))+(E272*(1-(2/(Inputs!$B$1+1))))</f>
        <v>0</v>
      </c>
      <c r="F273" s="2">
        <f>STDEV.S(OFFSET(D273, -(MIN(Inputs!$B$1, ROW()-1)-1), 0, MIN(Inputs!$B$1, ROW()-1), 1))</f>
        <v>0</v>
      </c>
      <c r="G273" s="2">
        <f>IF(F273=0, 0, (D273-E273)/F273)</f>
        <v>0</v>
      </c>
      <c r="H273">
        <f>IF(H272=0, IF(G273&gt;Inputs!$B$2, -1, IF(G273&lt;-Inputs!$B$2, 1, 0)), IF(AND(H272=1, G273&gt;-Inputs!$B$3), 0, IF(AND(H272=-1, G273&lt;Inputs!$B$3), 0, H272)))</f>
        <v>0</v>
      </c>
      <c r="I273" s="3">
        <f>(((B273/B272)-(C273/C272))*H272)-IF(H273&lt;&gt;H272, Inputs!$B$4, 0)</f>
        <v>0</v>
      </c>
      <c r="J273" s="2">
        <f>J272*(1+I273)</f>
        <v>0</v>
      </c>
      <c r="K273" s="3">
        <f>(B273-B272)/B272</f>
        <v>0</v>
      </c>
      <c r="L273" s="2">
        <f>MAX(J$2:J273)</f>
        <v>0</v>
      </c>
      <c r="M273" s="3">
        <f>(J273-L273)/L273</f>
        <v>0</v>
      </c>
    </row>
    <row r="274" spans="1:13">
      <c r="A274" t="s">
        <v>297</v>
      </c>
      <c r="B274" s="2">
        <v>45.4017</v>
      </c>
      <c r="C274" s="2">
        <v>271.4685897</v>
      </c>
      <c r="D274" s="2">
        <f>B274/C274</f>
        <v>0</v>
      </c>
      <c r="E274" s="2">
        <f>(D274*(2/(Inputs!$B$1+1)))+(E273*(1-(2/(Inputs!$B$1+1))))</f>
        <v>0</v>
      </c>
      <c r="F274" s="2">
        <f>STDEV.S(OFFSET(D274, -(MIN(Inputs!$B$1, ROW()-1)-1), 0, MIN(Inputs!$B$1, ROW()-1), 1))</f>
        <v>0</v>
      </c>
      <c r="G274" s="2">
        <f>IF(F274=0, 0, (D274-E274)/F274)</f>
        <v>0</v>
      </c>
      <c r="H274">
        <f>IF(H273=0, IF(G274&gt;Inputs!$B$2, -1, IF(G274&lt;-Inputs!$B$2, 1, 0)), IF(AND(H273=1, G274&gt;-Inputs!$B$3), 0, IF(AND(H273=-1, G274&lt;Inputs!$B$3), 0, H273)))</f>
        <v>0</v>
      </c>
      <c r="I274" s="3">
        <f>(((B274/B273)-(C274/C273))*H273)-IF(H274&lt;&gt;H273, Inputs!$B$4, 0)</f>
        <v>0</v>
      </c>
      <c r="J274" s="2">
        <f>J273*(1+I274)</f>
        <v>0</v>
      </c>
      <c r="K274" s="3">
        <f>(B274-B273)/B273</f>
        <v>0</v>
      </c>
      <c r="L274" s="2">
        <f>MAX(J$2:J274)</f>
        <v>0</v>
      </c>
      <c r="M274" s="3">
        <f>(J274-L274)/L274</f>
        <v>0</v>
      </c>
    </row>
    <row r="275" spans="1:13">
      <c r="A275" t="s">
        <v>298</v>
      </c>
      <c r="B275" s="2">
        <v>45.077</v>
      </c>
      <c r="C275" s="2">
        <v>271.1661034</v>
      </c>
      <c r="D275" s="2">
        <f>B275/C275</f>
        <v>0</v>
      </c>
      <c r="E275" s="2">
        <f>(D275*(2/(Inputs!$B$1+1)))+(E274*(1-(2/(Inputs!$B$1+1))))</f>
        <v>0</v>
      </c>
      <c r="F275" s="2">
        <f>STDEV.S(OFFSET(D275, -(MIN(Inputs!$B$1, ROW()-1)-1), 0, MIN(Inputs!$B$1, ROW()-1), 1))</f>
        <v>0</v>
      </c>
      <c r="G275" s="2">
        <f>IF(F275=0, 0, (D275-E275)/F275)</f>
        <v>0</v>
      </c>
      <c r="H275">
        <f>IF(H274=0, IF(G275&gt;Inputs!$B$2, -1, IF(G275&lt;-Inputs!$B$2, 1, 0)), IF(AND(H274=1, G275&gt;-Inputs!$B$3), 0, IF(AND(H274=-1, G275&lt;Inputs!$B$3), 0, H274)))</f>
        <v>0</v>
      </c>
      <c r="I275" s="3">
        <f>(((B275/B274)-(C275/C274))*H274)-IF(H275&lt;&gt;H274, Inputs!$B$4, 0)</f>
        <v>0</v>
      </c>
      <c r="J275" s="2">
        <f>J274*(1+I275)</f>
        <v>0</v>
      </c>
      <c r="K275" s="3">
        <f>(B275-B274)/B274</f>
        <v>0</v>
      </c>
      <c r="L275" s="2">
        <f>MAX(J$2:J275)</f>
        <v>0</v>
      </c>
      <c r="M275" s="3">
        <f>(J275-L275)/L275</f>
        <v>0</v>
      </c>
    </row>
    <row r="276" spans="1:13">
      <c r="A276" t="s">
        <v>299</v>
      </c>
      <c r="B276" s="2">
        <v>46.071</v>
      </c>
      <c r="C276" s="2">
        <v>274.7346811</v>
      </c>
      <c r="D276" s="2">
        <f>B276/C276</f>
        <v>0</v>
      </c>
      <c r="E276" s="2">
        <f>(D276*(2/(Inputs!$B$1+1)))+(E275*(1-(2/(Inputs!$B$1+1))))</f>
        <v>0</v>
      </c>
      <c r="F276" s="2">
        <f>STDEV.S(OFFSET(D276, -(MIN(Inputs!$B$1, ROW()-1)-1), 0, MIN(Inputs!$B$1, ROW()-1), 1))</f>
        <v>0</v>
      </c>
      <c r="G276" s="2">
        <f>IF(F276=0, 0, (D276-E276)/F276)</f>
        <v>0</v>
      </c>
      <c r="H276">
        <f>IF(H275=0, IF(G276&gt;Inputs!$B$2, -1, IF(G276&lt;-Inputs!$B$2, 1, 0)), IF(AND(H275=1, G276&gt;-Inputs!$B$3), 0, IF(AND(H275=-1, G276&lt;Inputs!$B$3), 0, H275)))</f>
        <v>0</v>
      </c>
      <c r="I276" s="3">
        <f>(((B276/B275)-(C276/C275))*H275)-IF(H276&lt;&gt;H275, Inputs!$B$4, 0)</f>
        <v>0</v>
      </c>
      <c r="J276" s="2">
        <f>J275*(1+I276)</f>
        <v>0</v>
      </c>
      <c r="K276" s="3">
        <f>(B276-B275)/B275</f>
        <v>0</v>
      </c>
      <c r="L276" s="2">
        <f>MAX(J$2:J276)</f>
        <v>0</v>
      </c>
      <c r="M276" s="3">
        <f>(J276-L276)/L276</f>
        <v>0</v>
      </c>
    </row>
    <row r="277" spans="1:13">
      <c r="A277" t="s">
        <v>300</v>
      </c>
      <c r="B277" s="2">
        <v>47.9792</v>
      </c>
      <c r="C277" s="2">
        <v>285.6989344</v>
      </c>
      <c r="D277" s="2">
        <f>B277/C277</f>
        <v>0</v>
      </c>
      <c r="E277" s="2">
        <f>(D277*(2/(Inputs!$B$1+1)))+(E276*(1-(2/(Inputs!$B$1+1))))</f>
        <v>0</v>
      </c>
      <c r="F277" s="2">
        <f>STDEV.S(OFFSET(D277, -(MIN(Inputs!$B$1, ROW()-1)-1), 0, MIN(Inputs!$B$1, ROW()-1), 1))</f>
        <v>0</v>
      </c>
      <c r="G277" s="2">
        <f>IF(F277=0, 0, (D277-E277)/F277)</f>
        <v>0</v>
      </c>
      <c r="H277">
        <f>IF(H276=0, IF(G277&gt;Inputs!$B$2, -1, IF(G277&lt;-Inputs!$B$2, 1, 0)), IF(AND(H276=1, G277&gt;-Inputs!$B$3), 0, IF(AND(H276=-1, G277&lt;Inputs!$B$3), 0, H276)))</f>
        <v>0</v>
      </c>
      <c r="I277" s="3">
        <f>(((B277/B276)-(C277/C276))*H276)-IF(H277&lt;&gt;H276, Inputs!$B$4, 0)</f>
        <v>0</v>
      </c>
      <c r="J277" s="2">
        <f>J276*(1+I277)</f>
        <v>0</v>
      </c>
      <c r="K277" s="3">
        <f>(B277-B276)/B276</f>
        <v>0</v>
      </c>
      <c r="L277" s="2">
        <f>MAX(J$2:J277)</f>
        <v>0</v>
      </c>
      <c r="M277" s="3">
        <f>(J277-L277)/L277</f>
        <v>0</v>
      </c>
    </row>
    <row r="278" spans="1:13">
      <c r="A278" t="s">
        <v>301</v>
      </c>
      <c r="B278" s="2">
        <v>46.8753</v>
      </c>
      <c r="C278" s="2">
        <v>279.19386</v>
      </c>
      <c r="D278" s="2">
        <f>B278/C278</f>
        <v>0</v>
      </c>
      <c r="E278" s="2">
        <f>(D278*(2/(Inputs!$B$1+1)))+(E277*(1-(2/(Inputs!$B$1+1))))</f>
        <v>0</v>
      </c>
      <c r="F278" s="2">
        <f>STDEV.S(OFFSET(D278, -(MIN(Inputs!$B$1, ROW()-1)-1), 0, MIN(Inputs!$B$1, ROW()-1), 1))</f>
        <v>0</v>
      </c>
      <c r="G278" s="2">
        <f>IF(F278=0, 0, (D278-E278)/F278)</f>
        <v>0</v>
      </c>
      <c r="H278">
        <f>IF(H277=0, IF(G278&gt;Inputs!$B$2, -1, IF(G278&lt;-Inputs!$B$2, 1, 0)), IF(AND(H277=1, G278&gt;-Inputs!$B$3), 0, IF(AND(H277=-1, G278&lt;Inputs!$B$3), 0, H277)))</f>
        <v>0</v>
      </c>
      <c r="I278" s="3">
        <f>(((B278/B277)-(C278/C277))*H277)-IF(H278&lt;&gt;H277, Inputs!$B$4, 0)</f>
        <v>0</v>
      </c>
      <c r="J278" s="2">
        <f>J277*(1+I278)</f>
        <v>0</v>
      </c>
      <c r="K278" s="3">
        <f>(B278-B277)/B277</f>
        <v>0</v>
      </c>
      <c r="L278" s="2">
        <f>MAX(J$2:J278)</f>
        <v>0</v>
      </c>
      <c r="M278" s="3">
        <f>(J278-L278)/L278</f>
        <v>0</v>
      </c>
    </row>
    <row r="279" spans="1:13">
      <c r="A279" t="s">
        <v>302</v>
      </c>
      <c r="B279" s="2">
        <v>47.19</v>
      </c>
      <c r="C279" s="2">
        <v>280.805351</v>
      </c>
      <c r="D279" s="2">
        <f>B279/C279</f>
        <v>0</v>
      </c>
      <c r="E279" s="2">
        <f>(D279*(2/(Inputs!$B$1+1)))+(E278*(1-(2/(Inputs!$B$1+1))))</f>
        <v>0</v>
      </c>
      <c r="F279" s="2">
        <f>STDEV.S(OFFSET(D279, -(MIN(Inputs!$B$1, ROW()-1)-1), 0, MIN(Inputs!$B$1, ROW()-1), 1))</f>
        <v>0</v>
      </c>
      <c r="G279" s="2">
        <f>IF(F279=0, 0, (D279-E279)/F279)</f>
        <v>0</v>
      </c>
      <c r="H279">
        <f>IF(H278=0, IF(G279&gt;Inputs!$B$2, -1, IF(G279&lt;-Inputs!$B$2, 1, 0)), IF(AND(H278=1, G279&gt;-Inputs!$B$3), 0, IF(AND(H278=-1, G279&lt;Inputs!$B$3), 0, H278)))</f>
        <v>0</v>
      </c>
      <c r="I279" s="3">
        <f>(((B279/B278)-(C279/C278))*H278)-IF(H279&lt;&gt;H278, Inputs!$B$4, 0)</f>
        <v>0</v>
      </c>
      <c r="J279" s="2">
        <f>J278*(1+I279)</f>
        <v>0</v>
      </c>
      <c r="K279" s="3">
        <f>(B279-B278)/B278</f>
        <v>0</v>
      </c>
      <c r="L279" s="2">
        <f>MAX(J$2:J279)</f>
        <v>0</v>
      </c>
      <c r="M279" s="3">
        <f>(J279-L279)/L279</f>
        <v>0</v>
      </c>
    </row>
    <row r="280" spans="1:13">
      <c r="A280" t="s">
        <v>303</v>
      </c>
      <c r="B280" s="2">
        <v>44.3727</v>
      </c>
      <c r="C280" s="2">
        <v>264.5752074</v>
      </c>
      <c r="D280" s="2">
        <f>B280/C280</f>
        <v>0</v>
      </c>
      <c r="E280" s="2">
        <f>(D280*(2/(Inputs!$B$1+1)))+(E279*(1-(2/(Inputs!$B$1+1))))</f>
        <v>0</v>
      </c>
      <c r="F280" s="2">
        <f>STDEV.S(OFFSET(D280, -(MIN(Inputs!$B$1, ROW()-1)-1), 0, MIN(Inputs!$B$1, ROW()-1), 1))</f>
        <v>0</v>
      </c>
      <c r="G280" s="2">
        <f>IF(F280=0, 0, (D280-E280)/F280)</f>
        <v>0</v>
      </c>
      <c r="H280">
        <f>IF(H279=0, IF(G280&gt;Inputs!$B$2, -1, IF(G280&lt;-Inputs!$B$2, 1, 0)), IF(AND(H279=1, G280&gt;-Inputs!$B$3), 0, IF(AND(H279=-1, G280&lt;Inputs!$B$3), 0, H279)))</f>
        <v>0</v>
      </c>
      <c r="I280" s="3">
        <f>(((B280/B279)-(C280/C279))*H279)-IF(H280&lt;&gt;H279, Inputs!$B$4, 0)</f>
        <v>0</v>
      </c>
      <c r="J280" s="2">
        <f>J279*(1+I280)</f>
        <v>0</v>
      </c>
      <c r="K280" s="3">
        <f>(B280-B279)/B279</f>
        <v>0</v>
      </c>
      <c r="L280" s="2">
        <f>MAX(J$2:J280)</f>
        <v>0</v>
      </c>
      <c r="M280" s="3">
        <f>(J280-L280)/L280</f>
        <v>0</v>
      </c>
    </row>
    <row r="281" spans="1:13">
      <c r="A281" t="s">
        <v>304</v>
      </c>
      <c r="B281" s="2">
        <v>43.4336</v>
      </c>
      <c r="C281" s="2">
        <v>257.4909</v>
      </c>
      <c r="D281" s="2">
        <f>B281/C281</f>
        <v>0</v>
      </c>
      <c r="E281" s="2">
        <f>(D281*(2/(Inputs!$B$1+1)))+(E280*(1-(2/(Inputs!$B$1+1))))</f>
        <v>0</v>
      </c>
      <c r="F281" s="2">
        <f>STDEV.S(OFFSET(D281, -(MIN(Inputs!$B$1, ROW()-1)-1), 0, MIN(Inputs!$B$1, ROW()-1), 1))</f>
        <v>0</v>
      </c>
      <c r="G281" s="2">
        <f>IF(F281=0, 0, (D281-E281)/F281)</f>
        <v>0</v>
      </c>
      <c r="H281">
        <f>IF(H280=0, IF(G281&gt;Inputs!$B$2, -1, IF(G281&lt;-Inputs!$B$2, 1, 0)), IF(AND(H280=1, G281&gt;-Inputs!$B$3), 0, IF(AND(H280=-1, G281&lt;Inputs!$B$3), 0, H280)))</f>
        <v>0</v>
      </c>
      <c r="I281" s="3">
        <f>(((B281/B280)-(C281/C280))*H280)-IF(H281&lt;&gt;H280, Inputs!$B$4, 0)</f>
        <v>0</v>
      </c>
      <c r="J281" s="2">
        <f>J280*(1+I281)</f>
        <v>0</v>
      </c>
      <c r="K281" s="3">
        <f>(B281-B280)/B280</f>
        <v>0</v>
      </c>
      <c r="L281" s="2">
        <f>MAX(J$2:J281)</f>
        <v>0</v>
      </c>
      <c r="M281" s="3">
        <f>(J281-L281)/L281</f>
        <v>0</v>
      </c>
    </row>
    <row r="282" spans="1:13">
      <c r="A282" t="s">
        <v>305</v>
      </c>
      <c r="B282" s="2">
        <v>43.4685</v>
      </c>
      <c r="C282" s="2">
        <v>260.275554</v>
      </c>
      <c r="D282" s="2">
        <f>B282/C282</f>
        <v>0</v>
      </c>
      <c r="E282" s="2">
        <f>(D282*(2/(Inputs!$B$1+1)))+(E281*(1-(2/(Inputs!$B$1+1))))</f>
        <v>0</v>
      </c>
      <c r="F282" s="2">
        <f>STDEV.S(OFFSET(D282, -(MIN(Inputs!$B$1, ROW()-1)-1), 0, MIN(Inputs!$B$1, ROW()-1), 1))</f>
        <v>0</v>
      </c>
      <c r="G282" s="2">
        <f>IF(F282=0, 0, (D282-E282)/F282)</f>
        <v>0</v>
      </c>
      <c r="H282">
        <f>IF(H281=0, IF(G282&gt;Inputs!$B$2, -1, IF(G282&lt;-Inputs!$B$2, 1, 0)), IF(AND(H281=1, G282&gt;-Inputs!$B$3), 0, IF(AND(H281=-1, G282&lt;Inputs!$B$3), 0, H281)))</f>
        <v>0</v>
      </c>
      <c r="I282" s="3">
        <f>(((B282/B281)-(C282/C281))*H281)-IF(H282&lt;&gt;H281, Inputs!$B$4, 0)</f>
        <v>0</v>
      </c>
      <c r="J282" s="2">
        <f>J281*(1+I282)</f>
        <v>0</v>
      </c>
      <c r="K282" s="3">
        <f>(B282-B281)/B281</f>
        <v>0</v>
      </c>
      <c r="L282" s="2">
        <f>MAX(J$2:J282)</f>
        <v>0</v>
      </c>
      <c r="M282" s="3">
        <f>(J282-L282)/L282</f>
        <v>0</v>
      </c>
    </row>
    <row r="283" spans="1:13">
      <c r="A283" t="s">
        <v>306</v>
      </c>
      <c r="B283" s="2">
        <v>45.027</v>
      </c>
      <c r="C283" s="2">
        <v>268.6458162</v>
      </c>
      <c r="D283" s="2">
        <f>B283/C283</f>
        <v>0</v>
      </c>
      <c r="E283" s="2">
        <f>(D283*(2/(Inputs!$B$1+1)))+(E282*(1-(2/(Inputs!$B$1+1))))</f>
        <v>0</v>
      </c>
      <c r="F283" s="2">
        <f>STDEV.S(OFFSET(D283, -(MIN(Inputs!$B$1, ROW()-1)-1), 0, MIN(Inputs!$B$1, ROW()-1), 1))</f>
        <v>0</v>
      </c>
      <c r="G283" s="2">
        <f>IF(F283=0, 0, (D283-E283)/F283)</f>
        <v>0</v>
      </c>
      <c r="H283">
        <f>IF(H282=0, IF(G283&gt;Inputs!$B$2, -1, IF(G283&lt;-Inputs!$B$2, 1, 0)), IF(AND(H282=1, G283&gt;-Inputs!$B$3), 0, IF(AND(H282=-1, G283&lt;Inputs!$B$3), 0, H282)))</f>
        <v>0</v>
      </c>
      <c r="I283" s="3">
        <f>(((B283/B282)-(C283/C282))*H282)-IF(H283&lt;&gt;H282, Inputs!$B$4, 0)</f>
        <v>0</v>
      </c>
      <c r="J283" s="2">
        <f>J282*(1+I283)</f>
        <v>0</v>
      </c>
      <c r="K283" s="3">
        <f>(B283-B282)/B282</f>
        <v>0</v>
      </c>
      <c r="L283" s="2">
        <f>MAX(J$2:J283)</f>
        <v>0</v>
      </c>
      <c r="M283" s="3">
        <f>(J283-L283)/L283</f>
        <v>0</v>
      </c>
    </row>
    <row r="284" spans="1:13">
      <c r="A284" t="s">
        <v>307</v>
      </c>
      <c r="B284" s="2">
        <v>45.5965</v>
      </c>
      <c r="C284" s="2">
        <v>271.68036</v>
      </c>
      <c r="D284" s="2">
        <f>B284/C284</f>
        <v>0</v>
      </c>
      <c r="E284" s="2">
        <f>(D284*(2/(Inputs!$B$1+1)))+(E283*(1-(2/(Inputs!$B$1+1))))</f>
        <v>0</v>
      </c>
      <c r="F284" s="2">
        <f>STDEV.S(OFFSET(D284, -(MIN(Inputs!$B$1, ROW()-1)-1), 0, MIN(Inputs!$B$1, ROW()-1), 1))</f>
        <v>0</v>
      </c>
      <c r="G284" s="2">
        <f>IF(F284=0, 0, (D284-E284)/F284)</f>
        <v>0</v>
      </c>
      <c r="H284">
        <f>IF(H283=0, IF(G284&gt;Inputs!$B$2, -1, IF(G284&lt;-Inputs!$B$2, 1, 0)), IF(AND(H283=1, G284&gt;-Inputs!$B$3), 0, IF(AND(H283=-1, G284&lt;Inputs!$B$3), 0, H283)))</f>
        <v>0</v>
      </c>
      <c r="I284" s="3">
        <f>(((B284/B283)-(C284/C283))*H283)-IF(H284&lt;&gt;H283, Inputs!$B$4, 0)</f>
        <v>0</v>
      </c>
      <c r="J284" s="2">
        <f>J283*(1+I284)</f>
        <v>0</v>
      </c>
      <c r="K284" s="3">
        <f>(B284-B283)/B283</f>
        <v>0</v>
      </c>
      <c r="L284" s="2">
        <f>MAX(J$2:J284)</f>
        <v>0</v>
      </c>
      <c r="M284" s="3">
        <f>(J284-L284)/L284</f>
        <v>0</v>
      </c>
    </row>
    <row r="285" spans="1:13">
      <c r="A285" t="s">
        <v>308</v>
      </c>
      <c r="B285" s="2">
        <v>45.6639</v>
      </c>
      <c r="C285" s="2">
        <v>271.9963235</v>
      </c>
      <c r="D285" s="2">
        <f>B285/C285</f>
        <v>0</v>
      </c>
      <c r="E285" s="2">
        <f>(D285*(2/(Inputs!$B$1+1)))+(E284*(1-(2/(Inputs!$B$1+1))))</f>
        <v>0</v>
      </c>
      <c r="F285" s="2">
        <f>STDEV.S(OFFSET(D285, -(MIN(Inputs!$B$1, ROW()-1)-1), 0, MIN(Inputs!$B$1, ROW()-1), 1))</f>
        <v>0</v>
      </c>
      <c r="G285" s="2">
        <f>IF(F285=0, 0, (D285-E285)/F285)</f>
        <v>0</v>
      </c>
      <c r="H285">
        <f>IF(H284=0, IF(G285&gt;Inputs!$B$2, -1, IF(G285&lt;-Inputs!$B$2, 1, 0)), IF(AND(H284=1, G285&gt;-Inputs!$B$3), 0, IF(AND(H284=-1, G285&lt;Inputs!$B$3), 0, H284)))</f>
        <v>0</v>
      </c>
      <c r="I285" s="3">
        <f>(((B285/B284)-(C285/C284))*H284)-IF(H285&lt;&gt;H284, Inputs!$B$4, 0)</f>
        <v>0</v>
      </c>
      <c r="J285" s="2">
        <f>J284*(1+I285)</f>
        <v>0</v>
      </c>
      <c r="K285" s="3">
        <f>(B285-B284)/B284</f>
        <v>0</v>
      </c>
      <c r="L285" s="2">
        <f>MAX(J$2:J285)</f>
        <v>0</v>
      </c>
      <c r="M285" s="3">
        <f>(J285-L285)/L285</f>
        <v>0</v>
      </c>
    </row>
    <row r="286" spans="1:13">
      <c r="A286" t="s">
        <v>309</v>
      </c>
      <c r="B286" s="2">
        <v>42.5144</v>
      </c>
      <c r="C286" s="2">
        <v>252.99766</v>
      </c>
      <c r="D286" s="2">
        <f>B286/C286</f>
        <v>0</v>
      </c>
      <c r="E286" s="2">
        <f>(D286*(2/(Inputs!$B$1+1)))+(E285*(1-(2/(Inputs!$B$1+1))))</f>
        <v>0</v>
      </c>
      <c r="F286" s="2">
        <f>STDEV.S(OFFSET(D286, -(MIN(Inputs!$B$1, ROW()-1)-1), 0, MIN(Inputs!$B$1, ROW()-1), 1))</f>
        <v>0</v>
      </c>
      <c r="G286" s="2">
        <f>IF(F286=0, 0, (D286-E286)/F286)</f>
        <v>0</v>
      </c>
      <c r="H286">
        <f>IF(H285=0, IF(G286&gt;Inputs!$B$2, -1, IF(G286&lt;-Inputs!$B$2, 1, 0)), IF(AND(H285=1, G286&gt;-Inputs!$B$3), 0, IF(AND(H285=-1, G286&lt;Inputs!$B$3), 0, H285)))</f>
        <v>0</v>
      </c>
      <c r="I286" s="3">
        <f>(((B286/B285)-(C286/C285))*H285)-IF(H286&lt;&gt;H285, Inputs!$B$4, 0)</f>
        <v>0</v>
      </c>
      <c r="J286" s="2">
        <f>J285*(1+I286)</f>
        <v>0</v>
      </c>
      <c r="K286" s="3">
        <f>(B286-B285)/B285</f>
        <v>0</v>
      </c>
      <c r="L286" s="2">
        <f>MAX(J$2:J286)</f>
        <v>0</v>
      </c>
      <c r="M286" s="3">
        <f>(J286-L286)/L286</f>
        <v>0</v>
      </c>
    </row>
    <row r="287" spans="1:13">
      <c r="A287" t="s">
        <v>310</v>
      </c>
      <c r="B287" s="2">
        <v>44.6574</v>
      </c>
      <c r="C287" s="2">
        <v>267.412674</v>
      </c>
      <c r="D287" s="2">
        <f>B287/C287</f>
        <v>0</v>
      </c>
      <c r="E287" s="2">
        <f>(D287*(2/(Inputs!$B$1+1)))+(E286*(1-(2/(Inputs!$B$1+1))))</f>
        <v>0</v>
      </c>
      <c r="F287" s="2">
        <f>STDEV.S(OFFSET(D287, -(MIN(Inputs!$B$1, ROW()-1)-1), 0, MIN(Inputs!$B$1, ROW()-1), 1))</f>
        <v>0</v>
      </c>
      <c r="G287" s="2">
        <f>IF(F287=0, 0, (D287-E287)/F287)</f>
        <v>0</v>
      </c>
      <c r="H287">
        <f>IF(H286=0, IF(G287&gt;Inputs!$B$2, -1, IF(G287&lt;-Inputs!$B$2, 1, 0)), IF(AND(H286=1, G287&gt;-Inputs!$B$3), 0, IF(AND(H286=-1, G287&lt;Inputs!$B$3), 0, H286)))</f>
        <v>0</v>
      </c>
      <c r="I287" s="3">
        <f>(((B287/B286)-(C287/C286))*H286)-IF(H287&lt;&gt;H286, Inputs!$B$4, 0)</f>
        <v>0</v>
      </c>
      <c r="J287" s="2">
        <f>J286*(1+I287)</f>
        <v>0</v>
      </c>
      <c r="K287" s="3">
        <f>(B287-B286)/B286</f>
        <v>0</v>
      </c>
      <c r="L287" s="2">
        <f>MAX(J$2:J287)</f>
        <v>0</v>
      </c>
      <c r="M287" s="3">
        <f>(J287-L287)/L287</f>
        <v>0</v>
      </c>
    </row>
    <row r="288" spans="1:13">
      <c r="A288" t="s">
        <v>311</v>
      </c>
      <c r="B288" s="2">
        <v>46.9252</v>
      </c>
      <c r="C288" s="2">
        <v>279.210715</v>
      </c>
      <c r="D288" s="2">
        <f>B288/C288</f>
        <v>0</v>
      </c>
      <c r="E288" s="2">
        <f>(D288*(2/(Inputs!$B$1+1)))+(E287*(1-(2/(Inputs!$B$1+1))))</f>
        <v>0</v>
      </c>
      <c r="F288" s="2">
        <f>STDEV.S(OFFSET(D288, -(MIN(Inputs!$B$1, ROW()-1)-1), 0, MIN(Inputs!$B$1, ROW()-1), 1))</f>
        <v>0</v>
      </c>
      <c r="G288" s="2">
        <f>IF(F288=0, 0, (D288-E288)/F288)</f>
        <v>0</v>
      </c>
      <c r="H288">
        <f>IF(H287=0, IF(G288&gt;Inputs!$B$2, -1, IF(G288&lt;-Inputs!$B$2, 1, 0)), IF(AND(H287=1, G288&gt;-Inputs!$B$3), 0, IF(AND(H287=-1, G288&lt;Inputs!$B$3), 0, H287)))</f>
        <v>0</v>
      </c>
      <c r="I288" s="3">
        <f>(((B288/B287)-(C288/C287))*H287)-IF(H288&lt;&gt;H287, Inputs!$B$4, 0)</f>
        <v>0</v>
      </c>
      <c r="J288" s="2">
        <f>J287*(1+I288)</f>
        <v>0</v>
      </c>
      <c r="K288" s="3">
        <f>(B288-B287)/B287</f>
        <v>0</v>
      </c>
      <c r="L288" s="2">
        <f>MAX(J$2:J288)</f>
        <v>0</v>
      </c>
      <c r="M288" s="3">
        <f>(J288-L288)/L288</f>
        <v>0</v>
      </c>
    </row>
    <row r="289" spans="1:13">
      <c r="A289" t="s">
        <v>312</v>
      </c>
      <c r="B289" s="2">
        <v>46.4107</v>
      </c>
      <c r="C289" s="2">
        <v>278.1211016</v>
      </c>
      <c r="D289" s="2">
        <f>B289/C289</f>
        <v>0</v>
      </c>
      <c r="E289" s="2">
        <f>(D289*(2/(Inputs!$B$1+1)))+(E288*(1-(2/(Inputs!$B$1+1))))</f>
        <v>0</v>
      </c>
      <c r="F289" s="2">
        <f>STDEV.S(OFFSET(D289, -(MIN(Inputs!$B$1, ROW()-1)-1), 0, MIN(Inputs!$B$1, ROW()-1), 1))</f>
        <v>0</v>
      </c>
      <c r="G289" s="2">
        <f>IF(F289=0, 0, (D289-E289)/F289)</f>
        <v>0</v>
      </c>
      <c r="H289">
        <f>IF(H288=0, IF(G289&gt;Inputs!$B$2, -1, IF(G289&lt;-Inputs!$B$2, 1, 0)), IF(AND(H288=1, G289&gt;-Inputs!$B$3), 0, IF(AND(H288=-1, G289&lt;Inputs!$B$3), 0, H288)))</f>
        <v>0</v>
      </c>
      <c r="I289" s="3">
        <f>(((B289/B288)-(C289/C288))*H288)-IF(H289&lt;&gt;H288, Inputs!$B$4, 0)</f>
        <v>0</v>
      </c>
      <c r="J289" s="2">
        <f>J288*(1+I289)</f>
        <v>0</v>
      </c>
      <c r="K289" s="3">
        <f>(B289-B288)/B288</f>
        <v>0</v>
      </c>
      <c r="L289" s="2">
        <f>MAX(J$2:J289)</f>
        <v>0</v>
      </c>
      <c r="M289" s="3">
        <f>(J289-L289)/L289</f>
        <v>0</v>
      </c>
    </row>
    <row r="290" spans="1:13">
      <c r="A290" t="s">
        <v>313</v>
      </c>
      <c r="B290" s="2">
        <v>46.7054</v>
      </c>
      <c r="C290" s="2">
        <v>277.704596</v>
      </c>
      <c r="D290" s="2">
        <f>B290/C290</f>
        <v>0</v>
      </c>
      <c r="E290" s="2">
        <f>(D290*(2/(Inputs!$B$1+1)))+(E289*(1-(2/(Inputs!$B$1+1))))</f>
        <v>0</v>
      </c>
      <c r="F290" s="2">
        <f>STDEV.S(OFFSET(D290, -(MIN(Inputs!$B$1, ROW()-1)-1), 0, MIN(Inputs!$B$1, ROW()-1), 1))</f>
        <v>0</v>
      </c>
      <c r="G290" s="2">
        <f>IF(F290=0, 0, (D290-E290)/F290)</f>
        <v>0</v>
      </c>
      <c r="H290">
        <f>IF(H289=0, IF(G290&gt;Inputs!$B$2, -1, IF(G290&lt;-Inputs!$B$2, 1, 0)), IF(AND(H289=1, G290&gt;-Inputs!$B$3), 0, IF(AND(H289=-1, G290&lt;Inputs!$B$3), 0, H289)))</f>
        <v>0</v>
      </c>
      <c r="I290" s="3">
        <f>(((B290/B289)-(C290/C289))*H289)-IF(H290&lt;&gt;H289, Inputs!$B$4, 0)</f>
        <v>0</v>
      </c>
      <c r="J290" s="2">
        <f>J289*(1+I290)</f>
        <v>0</v>
      </c>
      <c r="K290" s="3">
        <f>(B290-B289)/B289</f>
        <v>0</v>
      </c>
      <c r="L290" s="2">
        <f>MAX(J$2:J290)</f>
        <v>0</v>
      </c>
      <c r="M290" s="3">
        <f>(J290-L290)/L290</f>
        <v>0</v>
      </c>
    </row>
    <row r="291" spans="1:13">
      <c r="A291" t="s">
        <v>314</v>
      </c>
      <c r="B291" s="2">
        <v>47.5496</v>
      </c>
      <c r="C291" s="2">
        <v>282.948848</v>
      </c>
      <c r="D291" s="2">
        <f>B291/C291</f>
        <v>0</v>
      </c>
      <c r="E291" s="2">
        <f>(D291*(2/(Inputs!$B$1+1)))+(E290*(1-(2/(Inputs!$B$1+1))))</f>
        <v>0</v>
      </c>
      <c r="F291" s="2">
        <f>STDEV.S(OFFSET(D291, -(MIN(Inputs!$B$1, ROW()-1)-1), 0, MIN(Inputs!$B$1, ROW()-1), 1))</f>
        <v>0</v>
      </c>
      <c r="G291" s="2">
        <f>IF(F291=0, 0, (D291-E291)/F291)</f>
        <v>0</v>
      </c>
      <c r="H291">
        <f>IF(H290=0, IF(G291&gt;Inputs!$B$2, -1, IF(G291&lt;-Inputs!$B$2, 1, 0)), IF(AND(H290=1, G291&gt;-Inputs!$B$3), 0, IF(AND(H290=-1, G291&lt;Inputs!$B$3), 0, H290)))</f>
        <v>0</v>
      </c>
      <c r="I291" s="3">
        <f>(((B291/B290)-(C291/C290))*H290)-IF(H291&lt;&gt;H290, Inputs!$B$4, 0)</f>
        <v>0</v>
      </c>
      <c r="J291" s="2">
        <f>J290*(1+I291)</f>
        <v>0</v>
      </c>
      <c r="K291" s="3">
        <f>(B291-B290)/B290</f>
        <v>0</v>
      </c>
      <c r="L291" s="2">
        <f>MAX(J$2:J291)</f>
        <v>0</v>
      </c>
      <c r="M291" s="3">
        <f>(J291-L291)/L291</f>
        <v>0</v>
      </c>
    </row>
    <row r="292" spans="1:13">
      <c r="A292" t="s">
        <v>315</v>
      </c>
      <c r="B292" s="2">
        <v>47.9343</v>
      </c>
      <c r="C292" s="2">
        <v>285.2468784</v>
      </c>
      <c r="D292" s="2">
        <f>B292/C292</f>
        <v>0</v>
      </c>
      <c r="E292" s="2">
        <f>(D292*(2/(Inputs!$B$1+1)))+(E291*(1-(2/(Inputs!$B$1+1))))</f>
        <v>0</v>
      </c>
      <c r="F292" s="2">
        <f>STDEV.S(OFFSET(D292, -(MIN(Inputs!$B$1, ROW()-1)-1), 0, MIN(Inputs!$B$1, ROW()-1), 1))</f>
        <v>0</v>
      </c>
      <c r="G292" s="2">
        <f>IF(F292=0, 0, (D292-E292)/F292)</f>
        <v>0</v>
      </c>
      <c r="H292">
        <f>IF(H291=0, IF(G292&gt;Inputs!$B$2, -1, IF(G292&lt;-Inputs!$B$2, 1, 0)), IF(AND(H291=1, G292&gt;-Inputs!$B$3), 0, IF(AND(H291=-1, G292&lt;Inputs!$B$3), 0, H291)))</f>
        <v>0</v>
      </c>
      <c r="I292" s="3">
        <f>(((B292/B291)-(C292/C291))*H291)-IF(H292&lt;&gt;H291, Inputs!$B$4, 0)</f>
        <v>0</v>
      </c>
      <c r="J292" s="2">
        <f>J291*(1+I292)</f>
        <v>0</v>
      </c>
      <c r="K292" s="3">
        <f>(B292-B291)/B291</f>
        <v>0</v>
      </c>
      <c r="L292" s="2">
        <f>MAX(J$2:J292)</f>
        <v>0</v>
      </c>
      <c r="M292" s="3">
        <f>(J292-L292)/L292</f>
        <v>0</v>
      </c>
    </row>
    <row r="293" spans="1:13">
      <c r="A293" t="s">
        <v>316</v>
      </c>
      <c r="B293" s="2">
        <v>48.7735</v>
      </c>
      <c r="C293" s="2">
        <v>289.99524</v>
      </c>
      <c r="D293" s="2">
        <f>B293/C293</f>
        <v>0</v>
      </c>
      <c r="E293" s="2">
        <f>(D293*(2/(Inputs!$B$1+1)))+(E292*(1-(2/(Inputs!$B$1+1))))</f>
        <v>0</v>
      </c>
      <c r="F293" s="2">
        <f>STDEV.S(OFFSET(D293, -(MIN(Inputs!$B$1, ROW()-1)-1), 0, MIN(Inputs!$B$1, ROW()-1), 1))</f>
        <v>0</v>
      </c>
      <c r="G293" s="2">
        <f>IF(F293=0, 0, (D293-E293)/F293)</f>
        <v>0</v>
      </c>
      <c r="H293">
        <f>IF(H292=0, IF(G293&gt;Inputs!$B$2, -1, IF(G293&lt;-Inputs!$B$2, 1, 0)), IF(AND(H292=1, G293&gt;-Inputs!$B$3), 0, IF(AND(H292=-1, G293&lt;Inputs!$B$3), 0, H292)))</f>
        <v>0</v>
      </c>
      <c r="I293" s="3">
        <f>(((B293/B292)-(C293/C292))*H292)-IF(H293&lt;&gt;H292, Inputs!$B$4, 0)</f>
        <v>0</v>
      </c>
      <c r="J293" s="2">
        <f>J292*(1+I293)</f>
        <v>0</v>
      </c>
      <c r="K293" s="3">
        <f>(B293-B292)/B292</f>
        <v>0</v>
      </c>
      <c r="L293" s="2">
        <f>MAX(J$2:J293)</f>
        <v>0</v>
      </c>
      <c r="M293" s="3">
        <f>(J293-L293)/L293</f>
        <v>0</v>
      </c>
    </row>
    <row r="294" spans="1:13">
      <c r="A294" t="s">
        <v>317</v>
      </c>
      <c r="B294" s="2">
        <v>49.7875</v>
      </c>
      <c r="C294" s="2">
        <v>292.8249069</v>
      </c>
      <c r="D294" s="2">
        <f>B294/C294</f>
        <v>0</v>
      </c>
      <c r="E294" s="2">
        <f>(D294*(2/(Inputs!$B$1+1)))+(E293*(1-(2/(Inputs!$B$1+1))))</f>
        <v>0</v>
      </c>
      <c r="F294" s="2">
        <f>STDEV.S(OFFSET(D294, -(MIN(Inputs!$B$1, ROW()-1)-1), 0, MIN(Inputs!$B$1, ROW()-1), 1))</f>
        <v>0</v>
      </c>
      <c r="G294" s="2">
        <f>IF(F294=0, 0, (D294-E294)/F294)</f>
        <v>0</v>
      </c>
      <c r="H294">
        <f>IF(H293=0, IF(G294&gt;Inputs!$B$2, -1, IF(G294&lt;-Inputs!$B$2, 1, 0)), IF(AND(H293=1, G294&gt;-Inputs!$B$3), 0, IF(AND(H293=-1, G294&lt;Inputs!$B$3), 0, H293)))</f>
        <v>0</v>
      </c>
      <c r="I294" s="3">
        <f>(((B294/B293)-(C294/C293))*H293)-IF(H294&lt;&gt;H293, Inputs!$B$4, 0)</f>
        <v>0</v>
      </c>
      <c r="J294" s="2">
        <f>J293*(1+I294)</f>
        <v>0</v>
      </c>
      <c r="K294" s="3">
        <f>(B294-B293)/B293</f>
        <v>0</v>
      </c>
      <c r="L294" s="2">
        <f>MAX(J$2:J294)</f>
        <v>0</v>
      </c>
      <c r="M294" s="3">
        <f>(J294-L294)/L294</f>
        <v>0</v>
      </c>
    </row>
    <row r="295" spans="1:13">
      <c r="A295" t="s">
        <v>318</v>
      </c>
      <c r="B295" s="2">
        <v>49.3979</v>
      </c>
      <c r="C295" s="2">
        <v>292.2063</v>
      </c>
      <c r="D295" s="2">
        <f>B295/C295</f>
        <v>0</v>
      </c>
      <c r="E295" s="2">
        <f>(D295*(2/(Inputs!$B$1+1)))+(E294*(1-(2/(Inputs!$B$1+1))))</f>
        <v>0</v>
      </c>
      <c r="F295" s="2">
        <f>STDEV.S(OFFSET(D295, -(MIN(Inputs!$B$1, ROW()-1)-1), 0, MIN(Inputs!$B$1, ROW()-1), 1))</f>
        <v>0</v>
      </c>
      <c r="G295" s="2">
        <f>IF(F295=0, 0, (D295-E295)/F295)</f>
        <v>0</v>
      </c>
      <c r="H295">
        <f>IF(H294=0, IF(G295&gt;Inputs!$B$2, -1, IF(G295&lt;-Inputs!$B$2, 1, 0)), IF(AND(H294=1, G295&gt;-Inputs!$B$3), 0, IF(AND(H294=-1, G295&lt;Inputs!$B$3), 0, H294)))</f>
        <v>0</v>
      </c>
      <c r="I295" s="3">
        <f>(((B295/B294)-(C295/C294))*H294)-IF(H295&lt;&gt;H294, Inputs!$B$4, 0)</f>
        <v>0</v>
      </c>
      <c r="J295" s="2">
        <f>J294*(1+I295)</f>
        <v>0</v>
      </c>
      <c r="K295" s="3">
        <f>(B295-B294)/B294</f>
        <v>0</v>
      </c>
      <c r="L295" s="2">
        <f>MAX(J$2:J295)</f>
        <v>0</v>
      </c>
      <c r="M295" s="3">
        <f>(J295-L295)/L295</f>
        <v>0</v>
      </c>
    </row>
    <row r="296" spans="1:13">
      <c r="A296" t="s">
        <v>319</v>
      </c>
      <c r="B296" s="2">
        <v>50.332</v>
      </c>
      <c r="C296" s="2">
        <v>298.39269</v>
      </c>
      <c r="D296" s="2">
        <f>B296/C296</f>
        <v>0</v>
      </c>
      <c r="E296" s="2">
        <f>(D296*(2/(Inputs!$B$1+1)))+(E295*(1-(2/(Inputs!$B$1+1))))</f>
        <v>0</v>
      </c>
      <c r="F296" s="2">
        <f>STDEV.S(OFFSET(D296, -(MIN(Inputs!$B$1, ROW()-1)-1), 0, MIN(Inputs!$B$1, ROW()-1), 1))</f>
        <v>0</v>
      </c>
      <c r="G296" s="2">
        <f>IF(F296=0, 0, (D296-E296)/F296)</f>
        <v>0</v>
      </c>
      <c r="H296">
        <f>IF(H295=0, IF(G296&gt;Inputs!$B$2, -1, IF(G296&lt;-Inputs!$B$2, 1, 0)), IF(AND(H295=1, G296&gt;-Inputs!$B$3), 0, IF(AND(H295=-1, G296&lt;Inputs!$B$3), 0, H295)))</f>
        <v>0</v>
      </c>
      <c r="I296" s="3">
        <f>(((B296/B295)-(C296/C295))*H295)-IF(H296&lt;&gt;H295, Inputs!$B$4, 0)</f>
        <v>0</v>
      </c>
      <c r="J296" s="2">
        <f>J295*(1+I296)</f>
        <v>0</v>
      </c>
      <c r="K296" s="3">
        <f>(B296-B295)/B295</f>
        <v>0</v>
      </c>
      <c r="L296" s="2">
        <f>MAX(J$2:J296)</f>
        <v>0</v>
      </c>
      <c r="M296" s="3">
        <f>(J296-L296)/L296</f>
        <v>0</v>
      </c>
    </row>
    <row r="297" spans="1:13">
      <c r="A297" t="s">
        <v>320</v>
      </c>
      <c r="B297" s="2">
        <v>51.1612</v>
      </c>
      <c r="C297" s="2">
        <v>304.616675</v>
      </c>
      <c r="D297" s="2">
        <f>B297/C297</f>
        <v>0</v>
      </c>
      <c r="E297" s="2">
        <f>(D297*(2/(Inputs!$B$1+1)))+(E296*(1-(2/(Inputs!$B$1+1))))</f>
        <v>0</v>
      </c>
      <c r="F297" s="2">
        <f>STDEV.S(OFFSET(D297, -(MIN(Inputs!$B$1, ROW()-1)-1), 0, MIN(Inputs!$B$1, ROW()-1), 1))</f>
        <v>0</v>
      </c>
      <c r="G297" s="2">
        <f>IF(F297=0, 0, (D297-E297)/F297)</f>
        <v>0</v>
      </c>
      <c r="H297">
        <f>IF(H296=0, IF(G297&gt;Inputs!$B$2, -1, IF(G297&lt;-Inputs!$B$2, 1, 0)), IF(AND(H296=1, G297&gt;-Inputs!$B$3), 0, IF(AND(H296=-1, G297&lt;Inputs!$B$3), 0, H296)))</f>
        <v>0</v>
      </c>
      <c r="I297" s="3">
        <f>(((B297/B296)-(C297/C296))*H296)-IF(H297&lt;&gt;H296, Inputs!$B$4, 0)</f>
        <v>0</v>
      </c>
      <c r="J297" s="2">
        <f>J296*(1+I297)</f>
        <v>0</v>
      </c>
      <c r="K297" s="3">
        <f>(B297-B296)/B296</f>
        <v>0</v>
      </c>
      <c r="L297" s="2">
        <f>MAX(J$2:J297)</f>
        <v>0</v>
      </c>
      <c r="M297" s="3">
        <f>(J297-L297)/L297</f>
        <v>0</v>
      </c>
    </row>
    <row r="298" spans="1:13">
      <c r="A298" t="s">
        <v>321</v>
      </c>
      <c r="B298" s="2">
        <v>52.3451</v>
      </c>
      <c r="C298" s="2">
        <v>309.71792</v>
      </c>
      <c r="D298" s="2">
        <f>B298/C298</f>
        <v>0</v>
      </c>
      <c r="E298" s="2">
        <f>(D298*(2/(Inputs!$B$1+1)))+(E297*(1-(2/(Inputs!$B$1+1))))</f>
        <v>0</v>
      </c>
      <c r="F298" s="2">
        <f>STDEV.S(OFFSET(D298, -(MIN(Inputs!$B$1, ROW()-1)-1), 0, MIN(Inputs!$B$1, ROW()-1), 1))</f>
        <v>0</v>
      </c>
      <c r="G298" s="2">
        <f>IF(F298=0, 0, (D298-E298)/F298)</f>
        <v>0</v>
      </c>
      <c r="H298">
        <f>IF(H297=0, IF(G298&gt;Inputs!$B$2, -1, IF(G298&lt;-Inputs!$B$2, 1, 0)), IF(AND(H297=1, G298&gt;-Inputs!$B$3), 0, IF(AND(H297=-1, G298&lt;Inputs!$B$3), 0, H297)))</f>
        <v>0</v>
      </c>
      <c r="I298" s="3">
        <f>(((B298/B297)-(C298/C297))*H297)-IF(H298&lt;&gt;H297, Inputs!$B$4, 0)</f>
        <v>0</v>
      </c>
      <c r="J298" s="2">
        <f>J297*(1+I298)</f>
        <v>0</v>
      </c>
      <c r="K298" s="3">
        <f>(B298-B297)/B297</f>
        <v>0</v>
      </c>
      <c r="L298" s="2">
        <f>MAX(J$2:J298)</f>
        <v>0</v>
      </c>
      <c r="M298" s="3">
        <f>(J298-L298)/L298</f>
        <v>0</v>
      </c>
    </row>
    <row r="299" spans="1:13">
      <c r="A299" t="s">
        <v>322</v>
      </c>
      <c r="B299" s="2">
        <v>51.605</v>
      </c>
      <c r="C299" s="2">
        <v>303.5366775</v>
      </c>
      <c r="D299" s="2">
        <f>B299/C299</f>
        <v>0</v>
      </c>
      <c r="E299" s="2">
        <f>(D299*(2/(Inputs!$B$1+1)))+(E298*(1-(2/(Inputs!$B$1+1))))</f>
        <v>0</v>
      </c>
      <c r="F299" s="2">
        <f>STDEV.S(OFFSET(D299, -(MIN(Inputs!$B$1, ROW()-1)-1), 0, MIN(Inputs!$B$1, ROW()-1), 1))</f>
        <v>0</v>
      </c>
      <c r="G299" s="2">
        <f>IF(F299=0, 0, (D299-E299)/F299)</f>
        <v>0</v>
      </c>
      <c r="H299">
        <f>IF(H298=0, IF(G299&gt;Inputs!$B$2, -1, IF(G299&lt;-Inputs!$B$2, 1, 0)), IF(AND(H298=1, G299&gt;-Inputs!$B$3), 0, IF(AND(H298=-1, G299&lt;Inputs!$B$3), 0, H298)))</f>
        <v>0</v>
      </c>
      <c r="I299" s="3">
        <f>(((B299/B298)-(C299/C298))*H298)-IF(H299&lt;&gt;H298, Inputs!$B$4, 0)</f>
        <v>0</v>
      </c>
      <c r="J299" s="2">
        <f>J298*(1+I299)</f>
        <v>0</v>
      </c>
      <c r="K299" s="3">
        <f>(B299-B298)/B298</f>
        <v>0</v>
      </c>
      <c r="L299" s="2">
        <f>MAX(J$2:J299)</f>
        <v>0</v>
      </c>
      <c r="M299" s="3">
        <f>(J299-L299)/L299</f>
        <v>0</v>
      </c>
    </row>
    <row r="300" spans="1:13">
      <c r="A300" t="s">
        <v>323</v>
      </c>
      <c r="B300" s="2">
        <v>50.2</v>
      </c>
      <c r="C300" s="2">
        <v>298.9001568</v>
      </c>
      <c r="D300" s="2">
        <f>B300/C300</f>
        <v>0</v>
      </c>
      <c r="E300" s="2">
        <f>(D300*(2/(Inputs!$B$1+1)))+(E299*(1-(2/(Inputs!$B$1+1))))</f>
        <v>0</v>
      </c>
      <c r="F300" s="2">
        <f>STDEV.S(OFFSET(D300, -(MIN(Inputs!$B$1, ROW()-1)-1), 0, MIN(Inputs!$B$1, ROW()-1), 1))</f>
        <v>0</v>
      </c>
      <c r="G300" s="2">
        <f>IF(F300=0, 0, (D300-E300)/F300)</f>
        <v>0</v>
      </c>
      <c r="H300">
        <f>IF(H299=0, IF(G300&gt;Inputs!$B$2, -1, IF(G300&lt;-Inputs!$B$2, 1, 0)), IF(AND(H299=1, G300&gt;-Inputs!$B$3), 0, IF(AND(H299=-1, G300&lt;Inputs!$B$3), 0, H299)))</f>
        <v>0</v>
      </c>
      <c r="I300" s="3">
        <f>(((B300/B299)-(C300/C299))*H299)-IF(H300&lt;&gt;H299, Inputs!$B$4, 0)</f>
        <v>0</v>
      </c>
      <c r="J300" s="2">
        <f>J299*(1+I300)</f>
        <v>0</v>
      </c>
      <c r="K300" s="3">
        <f>(B300-B299)/B299</f>
        <v>0</v>
      </c>
      <c r="L300" s="2">
        <f>MAX(J$2:J300)</f>
        <v>0</v>
      </c>
      <c r="M300" s="3">
        <f>(J300-L300)/L300</f>
        <v>0</v>
      </c>
    </row>
    <row r="301" spans="1:13">
      <c r="A301" t="s">
        <v>324</v>
      </c>
      <c r="B301" s="2">
        <v>51.39</v>
      </c>
      <c r="C301" s="2">
        <v>307.375915</v>
      </c>
      <c r="D301" s="2">
        <f>B301/C301</f>
        <v>0</v>
      </c>
      <c r="E301" s="2">
        <f>(D301*(2/(Inputs!$B$1+1)))+(E300*(1-(2/(Inputs!$B$1+1))))</f>
        <v>0</v>
      </c>
      <c r="F301" s="2">
        <f>STDEV.S(OFFSET(D301, -(MIN(Inputs!$B$1, ROW()-1)-1), 0, MIN(Inputs!$B$1, ROW()-1), 1))</f>
        <v>0</v>
      </c>
      <c r="G301" s="2">
        <f>IF(F301=0, 0, (D301-E301)/F301)</f>
        <v>0</v>
      </c>
      <c r="H301">
        <f>IF(H300=0, IF(G301&gt;Inputs!$B$2, -1, IF(G301&lt;-Inputs!$B$2, 1, 0)), IF(AND(H300=1, G301&gt;-Inputs!$B$3), 0, IF(AND(H300=-1, G301&lt;Inputs!$B$3), 0, H300)))</f>
        <v>0</v>
      </c>
      <c r="I301" s="3">
        <f>(((B301/B300)-(C301/C300))*H300)-IF(H301&lt;&gt;H300, Inputs!$B$4, 0)</f>
        <v>0</v>
      </c>
      <c r="J301" s="2">
        <f>J300*(1+I301)</f>
        <v>0</v>
      </c>
      <c r="K301" s="3">
        <f>(B301-B300)/B300</f>
        <v>0</v>
      </c>
      <c r="L301" s="2">
        <f>MAX(J$2:J301)</f>
        <v>0</v>
      </c>
      <c r="M301" s="3">
        <f>(J301-L301)/L301</f>
        <v>0</v>
      </c>
    </row>
    <row r="302" spans="1:13">
      <c r="A302" t="s">
        <v>325</v>
      </c>
      <c r="B302" s="2">
        <v>51.205</v>
      </c>
      <c r="C302" s="2">
        <v>304.268862</v>
      </c>
      <c r="D302" s="2">
        <f>B302/C302</f>
        <v>0</v>
      </c>
      <c r="E302" s="2">
        <f>(D302*(2/(Inputs!$B$1+1)))+(E301*(1-(2/(Inputs!$B$1+1))))</f>
        <v>0</v>
      </c>
      <c r="F302" s="2">
        <f>STDEV.S(OFFSET(D302, -(MIN(Inputs!$B$1, ROW()-1)-1), 0, MIN(Inputs!$B$1, ROW()-1), 1))</f>
        <v>0</v>
      </c>
      <c r="G302" s="2">
        <f>IF(F302=0, 0, (D302-E302)/F302)</f>
        <v>0</v>
      </c>
      <c r="H302">
        <f>IF(H301=0, IF(G302&gt;Inputs!$B$2, -1, IF(G302&lt;-Inputs!$B$2, 1, 0)), IF(AND(H301=1, G302&gt;-Inputs!$B$3), 0, IF(AND(H301=-1, G302&lt;Inputs!$B$3), 0, H301)))</f>
        <v>0</v>
      </c>
      <c r="I302" s="3">
        <f>(((B302/B301)-(C302/C301))*H301)-IF(H302&lt;&gt;H301, Inputs!$B$4, 0)</f>
        <v>0</v>
      </c>
      <c r="J302" s="2">
        <f>J301*(1+I302)</f>
        <v>0</v>
      </c>
      <c r="K302" s="3">
        <f>(B302-B301)/B301</f>
        <v>0</v>
      </c>
      <c r="L302" s="2">
        <f>MAX(J$2:J302)</f>
        <v>0</v>
      </c>
      <c r="M302" s="3">
        <f>(J302-L302)/L302</f>
        <v>0</v>
      </c>
    </row>
    <row r="303" spans="1:13">
      <c r="A303" t="s">
        <v>326</v>
      </c>
      <c r="B303" s="2">
        <v>50.865</v>
      </c>
      <c r="C303" s="2">
        <v>301.596768</v>
      </c>
      <c r="D303" s="2">
        <f>B303/C303</f>
        <v>0</v>
      </c>
      <c r="E303" s="2">
        <f>(D303*(2/(Inputs!$B$1+1)))+(E302*(1-(2/(Inputs!$B$1+1))))</f>
        <v>0</v>
      </c>
      <c r="F303" s="2">
        <f>STDEV.S(OFFSET(D303, -(MIN(Inputs!$B$1, ROW()-1)-1), 0, MIN(Inputs!$B$1, ROW()-1), 1))</f>
        <v>0</v>
      </c>
      <c r="G303" s="2">
        <f>IF(F303=0, 0, (D303-E303)/F303)</f>
        <v>0</v>
      </c>
      <c r="H303">
        <f>IF(H302=0, IF(G303&gt;Inputs!$B$2, -1, IF(G303&lt;-Inputs!$B$2, 1, 0)), IF(AND(H302=1, G303&gt;-Inputs!$B$3), 0, IF(AND(H302=-1, G303&lt;Inputs!$B$3), 0, H302)))</f>
        <v>0</v>
      </c>
      <c r="I303" s="3">
        <f>(((B303/B302)-(C303/C302))*H302)-IF(H303&lt;&gt;H302, Inputs!$B$4, 0)</f>
        <v>0</v>
      </c>
      <c r="J303" s="2">
        <f>J302*(1+I303)</f>
        <v>0</v>
      </c>
      <c r="K303" s="3">
        <f>(B303-B302)/B302</f>
        <v>0</v>
      </c>
      <c r="L303" s="2">
        <f>MAX(J$2:J303)</f>
        <v>0</v>
      </c>
      <c r="M303" s="3">
        <f>(J303-L303)/L303</f>
        <v>0</v>
      </c>
    </row>
    <row r="304" spans="1:13">
      <c r="A304" t="s">
        <v>327</v>
      </c>
      <c r="B304" s="2">
        <v>53.22</v>
      </c>
      <c r="C304" s="2">
        <v>315.3777171</v>
      </c>
      <c r="D304" s="2">
        <f>B304/C304</f>
        <v>0</v>
      </c>
      <c r="E304" s="2">
        <f>(D304*(2/(Inputs!$B$1+1)))+(E303*(1-(2/(Inputs!$B$1+1))))</f>
        <v>0</v>
      </c>
      <c r="F304" s="2">
        <f>STDEV.S(OFFSET(D304, -(MIN(Inputs!$B$1, ROW()-1)-1), 0, MIN(Inputs!$B$1, ROW()-1), 1))</f>
        <v>0</v>
      </c>
      <c r="G304" s="2">
        <f>IF(F304=0, 0, (D304-E304)/F304)</f>
        <v>0</v>
      </c>
      <c r="H304">
        <f>IF(H303=0, IF(G304&gt;Inputs!$B$2, -1, IF(G304&lt;-Inputs!$B$2, 1, 0)), IF(AND(H303=1, G304&gt;-Inputs!$B$3), 0, IF(AND(H303=-1, G304&lt;Inputs!$B$3), 0, H303)))</f>
        <v>0</v>
      </c>
      <c r="I304" s="3">
        <f>(((B304/B303)-(C304/C303))*H303)-IF(H304&lt;&gt;H303, Inputs!$B$4, 0)</f>
        <v>0</v>
      </c>
      <c r="J304" s="2">
        <f>J303*(1+I304)</f>
        <v>0</v>
      </c>
      <c r="K304" s="3">
        <f>(B304-B303)/B303</f>
        <v>0</v>
      </c>
      <c r="L304" s="2">
        <f>MAX(J$2:J304)</f>
        <v>0</v>
      </c>
      <c r="M304" s="3">
        <f>(J304-L304)/L304</f>
        <v>0</v>
      </c>
    </row>
    <row r="305" spans="1:13">
      <c r="A305" t="s">
        <v>328</v>
      </c>
      <c r="B305" s="2">
        <v>53.7</v>
      </c>
      <c r="C305" s="2">
        <v>317.0332968</v>
      </c>
      <c r="D305" s="2">
        <f>B305/C305</f>
        <v>0</v>
      </c>
      <c r="E305" s="2">
        <f>(D305*(2/(Inputs!$B$1+1)))+(E304*(1-(2/(Inputs!$B$1+1))))</f>
        <v>0</v>
      </c>
      <c r="F305" s="2">
        <f>STDEV.S(OFFSET(D305, -(MIN(Inputs!$B$1, ROW()-1)-1), 0, MIN(Inputs!$B$1, ROW()-1), 1))</f>
        <v>0</v>
      </c>
      <c r="G305" s="2">
        <f>IF(F305=0, 0, (D305-E305)/F305)</f>
        <v>0</v>
      </c>
      <c r="H305">
        <f>IF(H304=0, IF(G305&gt;Inputs!$B$2, -1, IF(G305&lt;-Inputs!$B$2, 1, 0)), IF(AND(H304=1, G305&gt;-Inputs!$B$3), 0, IF(AND(H304=-1, G305&lt;Inputs!$B$3), 0, H304)))</f>
        <v>0</v>
      </c>
      <c r="I305" s="3">
        <f>(((B305/B304)-(C305/C304))*H304)-IF(H305&lt;&gt;H304, Inputs!$B$4, 0)</f>
        <v>0</v>
      </c>
      <c r="J305" s="2">
        <f>J304*(1+I305)</f>
        <v>0</v>
      </c>
      <c r="K305" s="3">
        <f>(B305-B304)/B304</f>
        <v>0</v>
      </c>
      <c r="L305" s="2">
        <f>MAX(J$2:J305)</f>
        <v>0</v>
      </c>
      <c r="M305" s="3">
        <f>(J305-L305)/L305</f>
        <v>0</v>
      </c>
    </row>
    <row r="306" spans="1:13">
      <c r="A306" t="s">
        <v>329</v>
      </c>
      <c r="B306" s="2">
        <v>52.86</v>
      </c>
      <c r="C306" s="2">
        <v>314.257851</v>
      </c>
      <c r="D306" s="2">
        <f>B306/C306</f>
        <v>0</v>
      </c>
      <c r="E306" s="2">
        <f>(D306*(2/(Inputs!$B$1+1)))+(E305*(1-(2/(Inputs!$B$1+1))))</f>
        <v>0</v>
      </c>
      <c r="F306" s="2">
        <f>STDEV.S(OFFSET(D306, -(MIN(Inputs!$B$1, ROW()-1)-1), 0, MIN(Inputs!$B$1, ROW()-1), 1))</f>
        <v>0</v>
      </c>
      <c r="G306" s="2">
        <f>IF(F306=0, 0, (D306-E306)/F306)</f>
        <v>0</v>
      </c>
      <c r="H306">
        <f>IF(H305=0, IF(G306&gt;Inputs!$B$2, -1, IF(G306&lt;-Inputs!$B$2, 1, 0)), IF(AND(H305=1, G306&gt;-Inputs!$B$3), 0, IF(AND(H305=-1, G306&lt;Inputs!$B$3), 0, H305)))</f>
        <v>0</v>
      </c>
      <c r="I306" s="3">
        <f>(((B306/B305)-(C306/C305))*H305)-IF(H306&lt;&gt;H305, Inputs!$B$4, 0)</f>
        <v>0</v>
      </c>
      <c r="J306" s="2">
        <f>J305*(1+I306)</f>
        <v>0</v>
      </c>
      <c r="K306" s="3">
        <f>(B306-B305)/B305</f>
        <v>0</v>
      </c>
      <c r="L306" s="2">
        <f>MAX(J$2:J306)</f>
        <v>0</v>
      </c>
      <c r="M306" s="3">
        <f>(J306-L306)/L306</f>
        <v>0</v>
      </c>
    </row>
    <row r="307" spans="1:13">
      <c r="A307" t="s">
        <v>330</v>
      </c>
      <c r="B307" s="2">
        <v>54.438</v>
      </c>
      <c r="C307" s="2">
        <v>322.511575</v>
      </c>
      <c r="D307" s="2">
        <f>B307/C307</f>
        <v>0</v>
      </c>
      <c r="E307" s="2">
        <f>(D307*(2/(Inputs!$B$1+1)))+(E306*(1-(2/(Inputs!$B$1+1))))</f>
        <v>0</v>
      </c>
      <c r="F307" s="2">
        <f>STDEV.S(OFFSET(D307, -(MIN(Inputs!$B$1, ROW()-1)-1), 0, MIN(Inputs!$B$1, ROW()-1), 1))</f>
        <v>0</v>
      </c>
      <c r="G307" s="2">
        <f>IF(F307=0, 0, (D307-E307)/F307)</f>
        <v>0</v>
      </c>
      <c r="H307">
        <f>IF(H306=0, IF(G307&gt;Inputs!$B$2, -1, IF(G307&lt;-Inputs!$B$2, 1, 0)), IF(AND(H306=1, G307&gt;-Inputs!$B$3), 0, IF(AND(H306=-1, G307&lt;Inputs!$B$3), 0, H306)))</f>
        <v>0</v>
      </c>
      <c r="I307" s="3">
        <f>(((B307/B306)-(C307/C306))*H306)-IF(H307&lt;&gt;H306, Inputs!$B$4, 0)</f>
        <v>0</v>
      </c>
      <c r="J307" s="2">
        <f>J306*(1+I307)</f>
        <v>0</v>
      </c>
      <c r="K307" s="3">
        <f>(B307-B306)/B306</f>
        <v>0</v>
      </c>
      <c r="L307" s="2">
        <f>MAX(J$2:J307)</f>
        <v>0</v>
      </c>
      <c r="M307" s="3">
        <f>(J307-L307)/L307</f>
        <v>0</v>
      </c>
    </row>
    <row r="308" spans="1:13">
      <c r="A308" t="s">
        <v>331</v>
      </c>
      <c r="B308" s="2">
        <v>54.365</v>
      </c>
      <c r="C308" s="2">
        <v>324.01736</v>
      </c>
      <c r="D308" s="2">
        <f>B308/C308</f>
        <v>0</v>
      </c>
      <c r="E308" s="2">
        <f>(D308*(2/(Inputs!$B$1+1)))+(E307*(1-(2/(Inputs!$B$1+1))))</f>
        <v>0</v>
      </c>
      <c r="F308" s="2">
        <f>STDEV.S(OFFSET(D308, -(MIN(Inputs!$B$1, ROW()-1)-1), 0, MIN(Inputs!$B$1, ROW()-1), 1))</f>
        <v>0</v>
      </c>
      <c r="G308" s="2">
        <f>IF(F308=0, 0, (D308-E308)/F308)</f>
        <v>0</v>
      </c>
      <c r="H308">
        <f>IF(H307=0, IF(G308&gt;Inputs!$B$2, -1, IF(G308&lt;-Inputs!$B$2, 1, 0)), IF(AND(H307=1, G308&gt;-Inputs!$B$3), 0, IF(AND(H307=-1, G308&lt;Inputs!$B$3), 0, H307)))</f>
        <v>0</v>
      </c>
      <c r="I308" s="3">
        <f>(((B308/B307)-(C308/C307))*H307)-IF(H308&lt;&gt;H307, Inputs!$B$4, 0)</f>
        <v>0</v>
      </c>
      <c r="J308" s="2">
        <f>J307*(1+I308)</f>
        <v>0</v>
      </c>
      <c r="K308" s="3">
        <f>(B308-B307)/B307</f>
        <v>0</v>
      </c>
      <c r="L308" s="2">
        <f>MAX(J$2:J308)</f>
        <v>0</v>
      </c>
      <c r="M308" s="3">
        <f>(J308-L308)/L308</f>
        <v>0</v>
      </c>
    </row>
    <row r="309" spans="1:13">
      <c r="A309" t="s">
        <v>332</v>
      </c>
      <c r="B309" s="2">
        <v>51.03</v>
      </c>
      <c r="C309" s="2">
        <v>304.01064</v>
      </c>
      <c r="D309" s="2">
        <f>B309/C309</f>
        <v>0</v>
      </c>
      <c r="E309" s="2">
        <f>(D309*(2/(Inputs!$B$1+1)))+(E308*(1-(2/(Inputs!$B$1+1))))</f>
        <v>0</v>
      </c>
      <c r="F309" s="2">
        <f>STDEV.S(OFFSET(D309, -(MIN(Inputs!$B$1, ROW()-1)-1), 0, MIN(Inputs!$B$1, ROW()-1), 1))</f>
        <v>0</v>
      </c>
      <c r="G309" s="2">
        <f>IF(F309=0, 0, (D309-E309)/F309)</f>
        <v>0</v>
      </c>
      <c r="H309">
        <f>IF(H308=0, IF(G309&gt;Inputs!$B$2, -1, IF(G309&lt;-Inputs!$B$2, 1, 0)), IF(AND(H308=1, G309&gt;-Inputs!$B$3), 0, IF(AND(H308=-1, G309&lt;Inputs!$B$3), 0, H308)))</f>
        <v>0</v>
      </c>
      <c r="I309" s="3">
        <f>(((B309/B308)-(C309/C308))*H308)-IF(H309&lt;&gt;H308, Inputs!$B$4, 0)</f>
        <v>0</v>
      </c>
      <c r="J309" s="2">
        <f>J308*(1+I309)</f>
        <v>0</v>
      </c>
      <c r="K309" s="3">
        <f>(B309-B308)/B308</f>
        <v>0</v>
      </c>
      <c r="L309" s="2">
        <f>MAX(J$2:J309)</f>
        <v>0</v>
      </c>
      <c r="M309" s="3">
        <f>(J309-L309)/L309</f>
        <v>0</v>
      </c>
    </row>
    <row r="310" spans="1:13">
      <c r="A310" t="s">
        <v>333</v>
      </c>
      <c r="B310" s="2">
        <v>49.865</v>
      </c>
      <c r="C310" s="2">
        <v>291.7552</v>
      </c>
      <c r="D310" s="2">
        <f>B310/C310</f>
        <v>0</v>
      </c>
      <c r="E310" s="2">
        <f>(D310*(2/(Inputs!$B$1+1)))+(E309*(1-(2/(Inputs!$B$1+1))))</f>
        <v>0</v>
      </c>
      <c r="F310" s="2">
        <f>STDEV.S(OFFSET(D310, -(MIN(Inputs!$B$1, ROW()-1)-1), 0, MIN(Inputs!$B$1, ROW()-1), 1))</f>
        <v>0</v>
      </c>
      <c r="G310" s="2">
        <f>IF(F310=0, 0, (D310-E310)/F310)</f>
        <v>0</v>
      </c>
      <c r="H310">
        <f>IF(H309=0, IF(G310&gt;Inputs!$B$2, -1, IF(G310&lt;-Inputs!$B$2, 1, 0)), IF(AND(H309=1, G310&gt;-Inputs!$B$3), 0, IF(AND(H309=-1, G310&lt;Inputs!$B$3), 0, H309)))</f>
        <v>0</v>
      </c>
      <c r="I310" s="3">
        <f>(((B310/B309)-(C310/C309))*H309)-IF(H310&lt;&gt;H309, Inputs!$B$4, 0)</f>
        <v>0</v>
      </c>
      <c r="J310" s="2">
        <f>J309*(1+I310)</f>
        <v>0</v>
      </c>
      <c r="K310" s="3">
        <f>(B310-B309)/B309</f>
        <v>0</v>
      </c>
      <c r="L310" s="2">
        <f>MAX(J$2:J310)</f>
        <v>0</v>
      </c>
      <c r="M310" s="3">
        <f>(J310-L310)/L310</f>
        <v>0</v>
      </c>
    </row>
    <row r="311" spans="1:13">
      <c r="A311" t="s">
        <v>334</v>
      </c>
      <c r="B311" s="2">
        <v>52.34</v>
      </c>
      <c r="C311" s="2">
        <v>313.33374</v>
      </c>
      <c r="D311" s="2">
        <f>B311/C311</f>
        <v>0</v>
      </c>
      <c r="E311" s="2">
        <f>(D311*(2/(Inputs!$B$1+1)))+(E310*(1-(2/(Inputs!$B$1+1))))</f>
        <v>0</v>
      </c>
      <c r="F311" s="2">
        <f>STDEV.S(OFFSET(D311, -(MIN(Inputs!$B$1, ROW()-1)-1), 0, MIN(Inputs!$B$1, ROW()-1), 1))</f>
        <v>0</v>
      </c>
      <c r="G311" s="2">
        <f>IF(F311=0, 0, (D311-E311)/F311)</f>
        <v>0</v>
      </c>
      <c r="H311">
        <f>IF(H310=0, IF(G311&gt;Inputs!$B$2, -1, IF(G311&lt;-Inputs!$B$2, 1, 0)), IF(AND(H310=1, G311&gt;-Inputs!$B$3), 0, IF(AND(H310=-1, G311&lt;Inputs!$B$3), 0, H310)))</f>
        <v>0</v>
      </c>
      <c r="I311" s="3">
        <f>(((B311/B310)-(C311/C310))*H310)-IF(H311&lt;&gt;H310, Inputs!$B$4, 0)</f>
        <v>0</v>
      </c>
      <c r="J311" s="2">
        <f>J310*(1+I311)</f>
        <v>0</v>
      </c>
      <c r="K311" s="3">
        <f>(B311-B310)/B310</f>
        <v>0</v>
      </c>
      <c r="L311" s="2">
        <f>MAX(J$2:J311)</f>
        <v>0</v>
      </c>
      <c r="M311" s="3">
        <f>(J311-L311)/L311</f>
        <v>0</v>
      </c>
    </row>
    <row r="312" spans="1:13">
      <c r="A312" t="s">
        <v>335</v>
      </c>
      <c r="B312" s="2">
        <v>52.805</v>
      </c>
      <c r="C312" s="2">
        <v>313.3873578</v>
      </c>
      <c r="D312" s="2">
        <f>B312/C312</f>
        <v>0</v>
      </c>
      <c r="E312" s="2">
        <f>(D312*(2/(Inputs!$B$1+1)))+(E311*(1-(2/(Inputs!$B$1+1))))</f>
        <v>0</v>
      </c>
      <c r="F312" s="2">
        <f>STDEV.S(OFFSET(D312, -(MIN(Inputs!$B$1, ROW()-1)-1), 0, MIN(Inputs!$B$1, ROW()-1), 1))</f>
        <v>0</v>
      </c>
      <c r="G312" s="2">
        <f>IF(F312=0, 0, (D312-E312)/F312)</f>
        <v>0</v>
      </c>
      <c r="H312">
        <f>IF(H311=0, IF(G312&gt;Inputs!$B$2, -1, IF(G312&lt;-Inputs!$B$2, 1, 0)), IF(AND(H311=1, G312&gt;-Inputs!$B$3), 0, IF(AND(H311=-1, G312&lt;Inputs!$B$3), 0, H311)))</f>
        <v>0</v>
      </c>
      <c r="I312" s="3">
        <f>(((B312/B311)-(C312/C311))*H311)-IF(H312&lt;&gt;H311, Inputs!$B$4, 0)</f>
        <v>0</v>
      </c>
      <c r="J312" s="2">
        <f>J311*(1+I312)</f>
        <v>0</v>
      </c>
      <c r="K312" s="3">
        <f>(B312-B311)/B311</f>
        <v>0</v>
      </c>
      <c r="L312" s="2">
        <f>MAX(J$2:J312)</f>
        <v>0</v>
      </c>
      <c r="M312" s="3">
        <f>(J312-L312)/L312</f>
        <v>0</v>
      </c>
    </row>
    <row r="313" spans="1:13">
      <c r="A313" t="s">
        <v>336</v>
      </c>
      <c r="B313" s="2">
        <v>53.945</v>
      </c>
      <c r="C313" s="2">
        <v>318.60346</v>
      </c>
      <c r="D313" s="2">
        <f>B313/C313</f>
        <v>0</v>
      </c>
      <c r="E313" s="2">
        <f>(D313*(2/(Inputs!$B$1+1)))+(E312*(1-(2/(Inputs!$B$1+1))))</f>
        <v>0</v>
      </c>
      <c r="F313" s="2">
        <f>STDEV.S(OFFSET(D313, -(MIN(Inputs!$B$1, ROW()-1)-1), 0, MIN(Inputs!$B$1, ROW()-1), 1))</f>
        <v>0</v>
      </c>
      <c r="G313" s="2">
        <f>IF(F313=0, 0, (D313-E313)/F313)</f>
        <v>0</v>
      </c>
      <c r="H313">
        <f>IF(H312=0, IF(G313&gt;Inputs!$B$2, -1, IF(G313&lt;-Inputs!$B$2, 1, 0)), IF(AND(H312=1, G313&gt;-Inputs!$B$3), 0, IF(AND(H312=-1, G313&lt;Inputs!$B$3), 0, H312)))</f>
        <v>0</v>
      </c>
      <c r="I313" s="3">
        <f>(((B313/B312)-(C313/C312))*H312)-IF(H313&lt;&gt;H312, Inputs!$B$4, 0)</f>
        <v>0</v>
      </c>
      <c r="J313" s="2">
        <f>J312*(1+I313)</f>
        <v>0</v>
      </c>
      <c r="K313" s="3">
        <f>(B313-B312)/B312</f>
        <v>0</v>
      </c>
      <c r="L313" s="2">
        <f>MAX(J$2:J313)</f>
        <v>0</v>
      </c>
      <c r="M313" s="3">
        <f>(J313-L313)/L313</f>
        <v>0</v>
      </c>
    </row>
    <row r="314" spans="1:13">
      <c r="A314" t="s">
        <v>337</v>
      </c>
      <c r="B314" s="2">
        <v>52.135</v>
      </c>
      <c r="C314" s="2">
        <v>311.501673</v>
      </c>
      <c r="D314" s="2">
        <f>B314/C314</f>
        <v>0</v>
      </c>
      <c r="E314" s="2">
        <f>(D314*(2/(Inputs!$B$1+1)))+(E313*(1-(2/(Inputs!$B$1+1))))</f>
        <v>0</v>
      </c>
      <c r="F314" s="2">
        <f>STDEV.S(OFFSET(D314, -(MIN(Inputs!$B$1, ROW()-1)-1), 0, MIN(Inputs!$B$1, ROW()-1), 1))</f>
        <v>0</v>
      </c>
      <c r="G314" s="2">
        <f>IF(F314=0, 0, (D314-E314)/F314)</f>
        <v>0</v>
      </c>
      <c r="H314">
        <f>IF(H313=0, IF(G314&gt;Inputs!$B$2, -1, IF(G314&lt;-Inputs!$B$2, 1, 0)), IF(AND(H313=1, G314&gt;-Inputs!$B$3), 0, IF(AND(H313=-1, G314&lt;Inputs!$B$3), 0, H313)))</f>
        <v>0</v>
      </c>
      <c r="I314" s="3">
        <f>(((B314/B313)-(C314/C313))*H313)-IF(H314&lt;&gt;H313, Inputs!$B$4, 0)</f>
        <v>0</v>
      </c>
      <c r="J314" s="2">
        <f>J313*(1+I314)</f>
        <v>0</v>
      </c>
      <c r="K314" s="3">
        <f>(B314-B313)/B313</f>
        <v>0</v>
      </c>
      <c r="L314" s="2">
        <f>MAX(J$2:J314)</f>
        <v>0</v>
      </c>
      <c r="M314" s="3">
        <f>(J314-L314)/L314</f>
        <v>0</v>
      </c>
    </row>
    <row r="315" spans="1:13">
      <c r="A315" t="s">
        <v>338</v>
      </c>
      <c r="B315" s="2">
        <v>54.995</v>
      </c>
      <c r="C315" s="2">
        <v>327.65412</v>
      </c>
      <c r="D315" s="2">
        <f>B315/C315</f>
        <v>0</v>
      </c>
      <c r="E315" s="2">
        <f>(D315*(2/(Inputs!$B$1+1)))+(E314*(1-(2/(Inputs!$B$1+1))))</f>
        <v>0</v>
      </c>
      <c r="F315" s="2">
        <f>STDEV.S(OFFSET(D315, -(MIN(Inputs!$B$1, ROW()-1)-1), 0, MIN(Inputs!$B$1, ROW()-1), 1))</f>
        <v>0</v>
      </c>
      <c r="G315" s="2">
        <f>IF(F315=0, 0, (D315-E315)/F315)</f>
        <v>0</v>
      </c>
      <c r="H315">
        <f>IF(H314=0, IF(G315&gt;Inputs!$B$2, -1, IF(G315&lt;-Inputs!$B$2, 1, 0)), IF(AND(H314=1, G315&gt;-Inputs!$B$3), 0, IF(AND(H314=-1, G315&lt;Inputs!$B$3), 0, H314)))</f>
        <v>0</v>
      </c>
      <c r="I315" s="3">
        <f>(((B315/B314)-(C315/C314))*H314)-IF(H315&lt;&gt;H314, Inputs!$B$4, 0)</f>
        <v>0</v>
      </c>
      <c r="J315" s="2">
        <f>J314*(1+I315)</f>
        <v>0</v>
      </c>
      <c r="K315" s="3">
        <f>(B315-B314)/B314</f>
        <v>0</v>
      </c>
      <c r="L315" s="2">
        <f>MAX(J$2:J315)</f>
        <v>0</v>
      </c>
      <c r="M315" s="3">
        <f>(J315-L315)/L315</f>
        <v>0</v>
      </c>
    </row>
    <row r="316" spans="1:13">
      <c r="A316" t="s">
        <v>339</v>
      </c>
      <c r="B316" s="2">
        <v>57.4725</v>
      </c>
      <c r="C316" s="2">
        <v>341.39904</v>
      </c>
      <c r="D316" s="2">
        <f>B316/C316</f>
        <v>0</v>
      </c>
      <c r="E316" s="2">
        <f>(D316*(2/(Inputs!$B$1+1)))+(E315*(1-(2/(Inputs!$B$1+1))))</f>
        <v>0</v>
      </c>
      <c r="F316" s="2">
        <f>STDEV.S(OFFSET(D316, -(MIN(Inputs!$B$1, ROW()-1)-1), 0, MIN(Inputs!$B$1, ROW()-1), 1))</f>
        <v>0</v>
      </c>
      <c r="G316" s="2">
        <f>IF(F316=0, 0, (D316-E316)/F316)</f>
        <v>0</v>
      </c>
      <c r="H316">
        <f>IF(H315=0, IF(G316&gt;Inputs!$B$2, -1, IF(G316&lt;-Inputs!$B$2, 1, 0)), IF(AND(H315=1, G316&gt;-Inputs!$B$3), 0, IF(AND(H315=-1, G316&lt;Inputs!$B$3), 0, H315)))</f>
        <v>0</v>
      </c>
      <c r="I316" s="3">
        <f>(((B316/B315)-(C316/C315))*H315)-IF(H316&lt;&gt;H315, Inputs!$B$4, 0)</f>
        <v>0</v>
      </c>
      <c r="J316" s="2">
        <f>J315*(1+I316)</f>
        <v>0</v>
      </c>
      <c r="K316" s="3">
        <f>(B316-B315)/B315</f>
        <v>0</v>
      </c>
      <c r="L316" s="2">
        <f>MAX(J$2:J316)</f>
        <v>0</v>
      </c>
      <c r="M316" s="3">
        <f>(J316-L316)/L316</f>
        <v>0</v>
      </c>
    </row>
    <row r="317" spans="1:13">
      <c r="A317" t="s">
        <v>340</v>
      </c>
      <c r="B317" s="2">
        <v>60.64</v>
      </c>
      <c r="C317" s="2">
        <v>356.9056625</v>
      </c>
      <c r="D317" s="2">
        <f>B317/C317</f>
        <v>0</v>
      </c>
      <c r="E317" s="2">
        <f>(D317*(2/(Inputs!$B$1+1)))+(E316*(1-(2/(Inputs!$B$1+1))))</f>
        <v>0</v>
      </c>
      <c r="F317" s="2">
        <f>STDEV.S(OFFSET(D317, -(MIN(Inputs!$B$1, ROW()-1)-1), 0, MIN(Inputs!$B$1, ROW()-1), 1))</f>
        <v>0</v>
      </c>
      <c r="G317" s="2">
        <f>IF(F317=0, 0, (D317-E317)/F317)</f>
        <v>0</v>
      </c>
      <c r="H317">
        <f>IF(H316=0, IF(G317&gt;Inputs!$B$2, -1, IF(G317&lt;-Inputs!$B$2, 1, 0)), IF(AND(H316=1, G317&gt;-Inputs!$B$3), 0, IF(AND(H316=-1, G317&lt;Inputs!$B$3), 0, H316)))</f>
        <v>0</v>
      </c>
      <c r="I317" s="3">
        <f>(((B317/B316)-(C317/C316))*H316)-IF(H317&lt;&gt;H316, Inputs!$B$4, 0)</f>
        <v>0</v>
      </c>
      <c r="J317" s="2">
        <f>J316*(1+I317)</f>
        <v>0</v>
      </c>
      <c r="K317" s="3">
        <f>(B317-B316)/B316</f>
        <v>0</v>
      </c>
      <c r="L317" s="2">
        <f>MAX(J$2:J317)</f>
        <v>0</v>
      </c>
      <c r="M317" s="3">
        <f>(J317-L317)/L317</f>
        <v>0</v>
      </c>
    </row>
    <row r="318" spans="1:13">
      <c r="A318" t="s">
        <v>341</v>
      </c>
      <c r="B318" s="2">
        <v>59.31</v>
      </c>
      <c r="C318" s="2">
        <v>348.010585</v>
      </c>
      <c r="D318" s="2">
        <f>B318/C318</f>
        <v>0</v>
      </c>
      <c r="E318" s="2">
        <f>(D318*(2/(Inputs!$B$1+1)))+(E317*(1-(2/(Inputs!$B$1+1))))</f>
        <v>0</v>
      </c>
      <c r="F318" s="2">
        <f>STDEV.S(OFFSET(D318, -(MIN(Inputs!$B$1, ROW()-1)-1), 0, MIN(Inputs!$B$1, ROW()-1), 1))</f>
        <v>0</v>
      </c>
      <c r="G318" s="2">
        <f>IF(F318=0, 0, (D318-E318)/F318)</f>
        <v>0</v>
      </c>
      <c r="H318">
        <f>IF(H317=0, IF(G318&gt;Inputs!$B$2, -1, IF(G318&lt;-Inputs!$B$2, 1, 0)), IF(AND(H317=1, G318&gt;-Inputs!$B$3), 0, IF(AND(H317=-1, G318&lt;Inputs!$B$3), 0, H317)))</f>
        <v>0</v>
      </c>
      <c r="I318" s="3">
        <f>(((B318/B317)-(C318/C317))*H317)-IF(H318&lt;&gt;H317, Inputs!$B$4, 0)</f>
        <v>0</v>
      </c>
      <c r="J318" s="2">
        <f>J317*(1+I318)</f>
        <v>0</v>
      </c>
      <c r="K318" s="3">
        <f>(B318-B317)/B317</f>
        <v>0</v>
      </c>
      <c r="L318" s="2">
        <f>MAX(J$2:J318)</f>
        <v>0</v>
      </c>
      <c r="M318" s="3">
        <f>(J318-L318)/L318</f>
        <v>0</v>
      </c>
    </row>
    <row r="319" spans="1:13">
      <c r="A319" t="s">
        <v>342</v>
      </c>
      <c r="B319" s="2">
        <v>60</v>
      </c>
      <c r="C319" s="2">
        <v>354.69154</v>
      </c>
      <c r="D319" s="2">
        <f>B319/C319</f>
        <v>0</v>
      </c>
      <c r="E319" s="2">
        <f>(D319*(2/(Inputs!$B$1+1)))+(E318*(1-(2/(Inputs!$B$1+1))))</f>
        <v>0</v>
      </c>
      <c r="F319" s="2">
        <f>STDEV.S(OFFSET(D319, -(MIN(Inputs!$B$1, ROW()-1)-1), 0, MIN(Inputs!$B$1, ROW()-1), 1))</f>
        <v>0</v>
      </c>
      <c r="G319" s="2">
        <f>IF(F319=0, 0, (D319-E319)/F319)</f>
        <v>0</v>
      </c>
      <c r="H319">
        <f>IF(H318=0, IF(G319&gt;Inputs!$B$2, -1, IF(G319&lt;-Inputs!$B$2, 1, 0)), IF(AND(H318=1, G319&gt;-Inputs!$B$3), 0, IF(AND(H318=-1, G319&lt;Inputs!$B$3), 0, H318)))</f>
        <v>0</v>
      </c>
      <c r="I319" s="3">
        <f>(((B319/B318)-(C319/C318))*H318)-IF(H319&lt;&gt;H318, Inputs!$B$4, 0)</f>
        <v>0</v>
      </c>
      <c r="J319" s="2">
        <f>J318*(1+I319)</f>
        <v>0</v>
      </c>
      <c r="K319" s="3">
        <f>(B319-B318)/B318</f>
        <v>0</v>
      </c>
      <c r="L319" s="2">
        <f>MAX(J$2:J319)</f>
        <v>0</v>
      </c>
      <c r="M319" s="3">
        <f>(J319-L319)/L319</f>
        <v>0</v>
      </c>
    </row>
    <row r="320" spans="1:13">
      <c r="A320" t="s">
        <v>343</v>
      </c>
      <c r="B320" s="2">
        <v>56.68</v>
      </c>
      <c r="C320" s="2">
        <v>334.909485</v>
      </c>
      <c r="D320" s="2">
        <f>B320/C320</f>
        <v>0</v>
      </c>
      <c r="E320" s="2">
        <f>(D320*(2/(Inputs!$B$1+1)))+(E319*(1-(2/(Inputs!$B$1+1))))</f>
        <v>0</v>
      </c>
      <c r="F320" s="2">
        <f>STDEV.S(OFFSET(D320, -(MIN(Inputs!$B$1, ROW()-1)-1), 0, MIN(Inputs!$B$1, ROW()-1), 1))</f>
        <v>0</v>
      </c>
      <c r="G320" s="2">
        <f>IF(F320=0, 0, (D320-E320)/F320)</f>
        <v>0</v>
      </c>
      <c r="H320">
        <f>IF(H319=0, IF(G320&gt;Inputs!$B$2, -1, IF(G320&lt;-Inputs!$B$2, 1, 0)), IF(AND(H319=1, G320&gt;-Inputs!$B$3), 0, IF(AND(H319=-1, G320&lt;Inputs!$B$3), 0, H319)))</f>
        <v>0</v>
      </c>
      <c r="I320" s="3">
        <f>(((B320/B319)-(C320/C319))*H319)-IF(H320&lt;&gt;H319, Inputs!$B$4, 0)</f>
        <v>0</v>
      </c>
      <c r="J320" s="2">
        <f>J319*(1+I320)</f>
        <v>0</v>
      </c>
      <c r="K320" s="3">
        <f>(B320-B319)/B319</f>
        <v>0</v>
      </c>
      <c r="L320" s="2">
        <f>MAX(J$2:J320)</f>
        <v>0</v>
      </c>
      <c r="M320" s="3">
        <f>(J320-L320)/L320</f>
        <v>0</v>
      </c>
    </row>
    <row r="321" spans="1:13">
      <c r="A321" t="s">
        <v>344</v>
      </c>
      <c r="B321" s="2">
        <v>56.185</v>
      </c>
      <c r="C321" s="2">
        <v>330.5756958</v>
      </c>
      <c r="D321" s="2">
        <f>B321/C321</f>
        <v>0</v>
      </c>
      <c r="E321" s="2">
        <f>(D321*(2/(Inputs!$B$1+1)))+(E320*(1-(2/(Inputs!$B$1+1))))</f>
        <v>0</v>
      </c>
      <c r="F321" s="2">
        <f>STDEV.S(OFFSET(D321, -(MIN(Inputs!$B$1, ROW()-1)-1), 0, MIN(Inputs!$B$1, ROW()-1), 1))</f>
        <v>0</v>
      </c>
      <c r="G321" s="2">
        <f>IF(F321=0, 0, (D321-E321)/F321)</f>
        <v>0</v>
      </c>
      <c r="H321">
        <f>IF(H320=0, IF(G321&gt;Inputs!$B$2, -1, IF(G321&lt;-Inputs!$B$2, 1, 0)), IF(AND(H320=1, G321&gt;-Inputs!$B$3), 0, IF(AND(H320=-1, G321&lt;Inputs!$B$3), 0, H320)))</f>
        <v>0</v>
      </c>
      <c r="I321" s="3">
        <f>(((B321/B320)-(C321/C320))*H320)-IF(H321&lt;&gt;H320, Inputs!$B$4, 0)</f>
        <v>0</v>
      </c>
      <c r="J321" s="2">
        <f>J320*(1+I321)</f>
        <v>0</v>
      </c>
      <c r="K321" s="3">
        <f>(B321-B320)/B320</f>
        <v>0</v>
      </c>
      <c r="L321" s="2">
        <f>MAX(J$2:J321)</f>
        <v>0</v>
      </c>
      <c r="M321" s="3">
        <f>(J321-L321)/L321</f>
        <v>0</v>
      </c>
    </row>
    <row r="322" spans="1:13">
      <c r="A322" t="s">
        <v>345</v>
      </c>
      <c r="B322" s="2">
        <v>52.51</v>
      </c>
      <c r="C322" s="2">
        <v>303.9934659</v>
      </c>
      <c r="D322" s="2">
        <f>B322/C322</f>
        <v>0</v>
      </c>
      <c r="E322" s="2">
        <f>(D322*(2/(Inputs!$B$1+1)))+(E321*(1-(2/(Inputs!$B$1+1))))</f>
        <v>0</v>
      </c>
      <c r="F322" s="2">
        <f>STDEV.S(OFFSET(D322, -(MIN(Inputs!$B$1, ROW()-1)-1), 0, MIN(Inputs!$B$1, ROW()-1), 1))</f>
        <v>0</v>
      </c>
      <c r="G322" s="2">
        <f>IF(F322=0, 0, (D322-E322)/F322)</f>
        <v>0</v>
      </c>
      <c r="H322">
        <f>IF(H321=0, IF(G322&gt;Inputs!$B$2, -1, IF(G322&lt;-Inputs!$B$2, 1, 0)), IF(AND(H321=1, G322&gt;-Inputs!$B$3), 0, IF(AND(H321=-1, G322&lt;Inputs!$B$3), 0, H321)))</f>
        <v>0</v>
      </c>
      <c r="I322" s="3">
        <f>(((B322/B321)-(C322/C321))*H321)-IF(H322&lt;&gt;H321, Inputs!$B$4, 0)</f>
        <v>0</v>
      </c>
      <c r="J322" s="2">
        <f>J321*(1+I322)</f>
        <v>0</v>
      </c>
      <c r="K322" s="3">
        <f>(B322-B321)/B321</f>
        <v>0</v>
      </c>
      <c r="L322" s="2">
        <f>MAX(J$2:J322)</f>
        <v>0</v>
      </c>
      <c r="M322" s="3">
        <f>(J322-L322)/L322</f>
        <v>0</v>
      </c>
    </row>
    <row r="323" spans="1:13">
      <c r="A323" t="s">
        <v>346</v>
      </c>
      <c r="B323" s="2">
        <v>55.215</v>
      </c>
      <c r="C323" s="2">
        <v>328.718745</v>
      </c>
      <c r="D323" s="2">
        <f>B323/C323</f>
        <v>0</v>
      </c>
      <c r="E323" s="2">
        <f>(D323*(2/(Inputs!$B$1+1)))+(E322*(1-(2/(Inputs!$B$1+1))))</f>
        <v>0</v>
      </c>
      <c r="F323" s="2">
        <f>STDEV.S(OFFSET(D323, -(MIN(Inputs!$B$1, ROW()-1)-1), 0, MIN(Inputs!$B$1, ROW()-1), 1))</f>
        <v>0</v>
      </c>
      <c r="G323" s="2">
        <f>IF(F323=0, 0, (D323-E323)/F323)</f>
        <v>0</v>
      </c>
      <c r="H323">
        <f>IF(H322=0, IF(G323&gt;Inputs!$B$2, -1, IF(G323&lt;-Inputs!$B$2, 1, 0)), IF(AND(H322=1, G323&gt;-Inputs!$B$3), 0, IF(AND(H322=-1, G323&lt;Inputs!$B$3), 0, H322)))</f>
        <v>0</v>
      </c>
      <c r="I323" s="3">
        <f>(((B323/B322)-(C323/C322))*H322)-IF(H323&lt;&gt;H322, Inputs!$B$4, 0)</f>
        <v>0</v>
      </c>
      <c r="J323" s="2">
        <f>J322*(1+I323)</f>
        <v>0</v>
      </c>
      <c r="K323" s="3">
        <f>(B323-B322)/B322</f>
        <v>0</v>
      </c>
      <c r="L323" s="2">
        <f>MAX(J$2:J323)</f>
        <v>0</v>
      </c>
      <c r="M323" s="3">
        <f>(J323-L323)/L323</f>
        <v>0</v>
      </c>
    </row>
    <row r="324" spans="1:13">
      <c r="A324" t="s">
        <v>347</v>
      </c>
      <c r="B324" s="2">
        <v>55.635</v>
      </c>
      <c r="C324" s="2">
        <v>329.153286</v>
      </c>
      <c r="D324" s="2">
        <f>B324/C324</f>
        <v>0</v>
      </c>
      <c r="E324" s="2">
        <f>(D324*(2/(Inputs!$B$1+1)))+(E323*(1-(2/(Inputs!$B$1+1))))</f>
        <v>0</v>
      </c>
      <c r="F324" s="2">
        <f>STDEV.S(OFFSET(D324, -(MIN(Inputs!$B$1, ROW()-1)-1), 0, MIN(Inputs!$B$1, ROW()-1), 1))</f>
        <v>0</v>
      </c>
      <c r="G324" s="2">
        <f>IF(F324=0, 0, (D324-E324)/F324)</f>
        <v>0</v>
      </c>
      <c r="H324">
        <f>IF(H323=0, IF(G324&gt;Inputs!$B$2, -1, IF(G324&lt;-Inputs!$B$2, 1, 0)), IF(AND(H323=1, G324&gt;-Inputs!$B$3), 0, IF(AND(H323=-1, G324&lt;Inputs!$B$3), 0, H323)))</f>
        <v>0</v>
      </c>
      <c r="I324" s="3">
        <f>(((B324/B323)-(C324/C323))*H323)-IF(H324&lt;&gt;H323, Inputs!$B$4, 0)</f>
        <v>0</v>
      </c>
      <c r="J324" s="2">
        <f>J323*(1+I324)</f>
        <v>0</v>
      </c>
      <c r="K324" s="3">
        <f>(B324-B323)/B323</f>
        <v>0</v>
      </c>
      <c r="L324" s="2">
        <f>MAX(J$2:J324)</f>
        <v>0</v>
      </c>
      <c r="M324" s="3">
        <f>(J324-L324)/L324</f>
        <v>0</v>
      </c>
    </row>
    <row r="325" spans="1:13">
      <c r="A325" t="s">
        <v>348</v>
      </c>
      <c r="B325" s="2">
        <v>56.765</v>
      </c>
      <c r="C325" s="2">
        <v>328.678416</v>
      </c>
      <c r="D325" s="2">
        <f>B325/C325</f>
        <v>0</v>
      </c>
      <c r="E325" s="2">
        <f>(D325*(2/(Inputs!$B$1+1)))+(E324*(1-(2/(Inputs!$B$1+1))))</f>
        <v>0</v>
      </c>
      <c r="F325" s="2">
        <f>STDEV.S(OFFSET(D325, -(MIN(Inputs!$B$1, ROW()-1)-1), 0, MIN(Inputs!$B$1, ROW()-1), 1))</f>
        <v>0</v>
      </c>
      <c r="G325" s="2">
        <f>IF(F325=0, 0, (D325-E325)/F325)</f>
        <v>0</v>
      </c>
      <c r="H325">
        <f>IF(H324=0, IF(G325&gt;Inputs!$B$2, -1, IF(G325&lt;-Inputs!$B$2, 1, 0)), IF(AND(H324=1, G325&gt;-Inputs!$B$3), 0, IF(AND(H324=-1, G325&lt;Inputs!$B$3), 0, H324)))</f>
        <v>0</v>
      </c>
      <c r="I325" s="3">
        <f>(((B325/B324)-(C325/C324))*H324)-IF(H325&lt;&gt;H324, Inputs!$B$4, 0)</f>
        <v>0</v>
      </c>
      <c r="J325" s="2">
        <f>J324*(1+I325)</f>
        <v>0</v>
      </c>
      <c r="K325" s="3">
        <f>(B325-B324)/B324</f>
        <v>0</v>
      </c>
      <c r="L325" s="2">
        <f>MAX(J$2:J325)</f>
        <v>0</v>
      </c>
      <c r="M325" s="3">
        <f>(J325-L325)/L325</f>
        <v>0</v>
      </c>
    </row>
    <row r="326" spans="1:13">
      <c r="A326" t="s">
        <v>349</v>
      </c>
      <c r="B326" s="2">
        <v>49.99</v>
      </c>
      <c r="C326" s="2">
        <v>295.9768172</v>
      </c>
      <c r="D326" s="2">
        <f>B326/C326</f>
        <v>0</v>
      </c>
      <c r="E326" s="2">
        <f>(D326*(2/(Inputs!$B$1+1)))+(E325*(1-(2/(Inputs!$B$1+1))))</f>
        <v>0</v>
      </c>
      <c r="F326" s="2">
        <f>STDEV.S(OFFSET(D326, -(MIN(Inputs!$B$1, ROW()-1)-1), 0, MIN(Inputs!$B$1, ROW()-1), 1))</f>
        <v>0</v>
      </c>
      <c r="G326" s="2">
        <f>IF(F326=0, 0, (D326-E326)/F326)</f>
        <v>0</v>
      </c>
      <c r="H326">
        <f>IF(H325=0, IF(G326&gt;Inputs!$B$2, -1, IF(G326&lt;-Inputs!$B$2, 1, 0)), IF(AND(H325=1, G326&gt;-Inputs!$B$3), 0, IF(AND(H325=-1, G326&lt;Inputs!$B$3), 0, H325)))</f>
        <v>0</v>
      </c>
      <c r="I326" s="3">
        <f>(((B326/B325)-(C326/C325))*H325)-IF(H326&lt;&gt;H325, Inputs!$B$4, 0)</f>
        <v>0</v>
      </c>
      <c r="J326" s="2">
        <f>J325*(1+I326)</f>
        <v>0</v>
      </c>
      <c r="K326" s="3">
        <f>(B326-B325)/B325</f>
        <v>0</v>
      </c>
      <c r="L326" s="2">
        <f>MAX(J$2:J326)</f>
        <v>0</v>
      </c>
      <c r="M326" s="3">
        <f>(J326-L326)/L326</f>
        <v>0</v>
      </c>
    </row>
    <row r="327" spans="1:13">
      <c r="A327" t="s">
        <v>350</v>
      </c>
      <c r="B327" s="2">
        <v>51.705</v>
      </c>
      <c r="C327" s="2">
        <v>308.4340875</v>
      </c>
      <c r="D327" s="2">
        <f>B327/C327</f>
        <v>0</v>
      </c>
      <c r="E327" s="2">
        <f>(D327*(2/(Inputs!$B$1+1)))+(E326*(1-(2/(Inputs!$B$1+1))))</f>
        <v>0</v>
      </c>
      <c r="F327" s="2">
        <f>STDEV.S(OFFSET(D327, -(MIN(Inputs!$B$1, ROW()-1)-1), 0, MIN(Inputs!$B$1, ROW()-1), 1))</f>
        <v>0</v>
      </c>
      <c r="G327" s="2">
        <f>IF(F327=0, 0, (D327-E327)/F327)</f>
        <v>0</v>
      </c>
      <c r="H327">
        <f>IF(H326=0, IF(G327&gt;Inputs!$B$2, -1, IF(G327&lt;-Inputs!$B$2, 1, 0)), IF(AND(H326=1, G327&gt;-Inputs!$B$3), 0, IF(AND(H326=-1, G327&lt;Inputs!$B$3), 0, H326)))</f>
        <v>0</v>
      </c>
      <c r="I327" s="3">
        <f>(((B327/B326)-(C327/C326))*H326)-IF(H327&lt;&gt;H326, Inputs!$B$4, 0)</f>
        <v>0</v>
      </c>
      <c r="J327" s="2">
        <f>J326*(1+I327)</f>
        <v>0</v>
      </c>
      <c r="K327" s="3">
        <f>(B327-B326)/B326</f>
        <v>0</v>
      </c>
      <c r="L327" s="2">
        <f>MAX(J$2:J327)</f>
        <v>0</v>
      </c>
      <c r="M327" s="3">
        <f>(J327-L327)/L327</f>
        <v>0</v>
      </c>
    </row>
    <row r="328" spans="1:13">
      <c r="A328" t="s">
        <v>351</v>
      </c>
      <c r="B328" s="2">
        <v>49.985</v>
      </c>
      <c r="C328" s="2">
        <v>294.8690304</v>
      </c>
      <c r="D328" s="2">
        <f>B328/C328</f>
        <v>0</v>
      </c>
      <c r="E328" s="2">
        <f>(D328*(2/(Inputs!$B$1+1)))+(E327*(1-(2/(Inputs!$B$1+1))))</f>
        <v>0</v>
      </c>
      <c r="F328" s="2">
        <f>STDEV.S(OFFSET(D328, -(MIN(Inputs!$B$1, ROW()-1)-1), 0, MIN(Inputs!$B$1, ROW()-1), 1))</f>
        <v>0</v>
      </c>
      <c r="G328" s="2">
        <f>IF(F328=0, 0, (D328-E328)/F328)</f>
        <v>0</v>
      </c>
      <c r="H328">
        <f>IF(H327=0, IF(G328&gt;Inputs!$B$2, -1, IF(G328&lt;-Inputs!$B$2, 1, 0)), IF(AND(H327=1, G328&gt;-Inputs!$B$3), 0, IF(AND(H327=-1, G328&lt;Inputs!$B$3), 0, H327)))</f>
        <v>0</v>
      </c>
      <c r="I328" s="3">
        <f>(((B328/B327)-(C328/C327))*H327)-IF(H328&lt;&gt;H327, Inputs!$B$4, 0)</f>
        <v>0</v>
      </c>
      <c r="J328" s="2">
        <f>J327*(1+I328)</f>
        <v>0</v>
      </c>
      <c r="K328" s="3">
        <f>(B328-B327)/B327</f>
        <v>0</v>
      </c>
      <c r="L328" s="2">
        <f>MAX(J$2:J328)</f>
        <v>0</v>
      </c>
      <c r="M328" s="3">
        <f>(J328-L328)/L328</f>
        <v>0</v>
      </c>
    </row>
    <row r="329" spans="1:13">
      <c r="A329" t="s">
        <v>352</v>
      </c>
      <c r="B329" s="2">
        <v>49.325</v>
      </c>
      <c r="C329" s="2">
        <v>300.5346336</v>
      </c>
      <c r="D329" s="2">
        <f>B329/C329</f>
        <v>0</v>
      </c>
      <c r="E329" s="2">
        <f>(D329*(2/(Inputs!$B$1+1)))+(E328*(1-(2/(Inputs!$B$1+1))))</f>
        <v>0</v>
      </c>
      <c r="F329" s="2">
        <f>STDEV.S(OFFSET(D329, -(MIN(Inputs!$B$1, ROW()-1)-1), 0, MIN(Inputs!$B$1, ROW()-1), 1))</f>
        <v>0</v>
      </c>
      <c r="G329" s="2">
        <f>IF(F329=0, 0, (D329-E329)/F329)</f>
        <v>0</v>
      </c>
      <c r="H329">
        <f>IF(H328=0, IF(G329&gt;Inputs!$B$2, -1, IF(G329&lt;-Inputs!$B$2, 1, 0)), IF(AND(H328=1, G329&gt;-Inputs!$B$3), 0, IF(AND(H328=-1, G329&lt;Inputs!$B$3), 0, H328)))</f>
        <v>0</v>
      </c>
      <c r="I329" s="3">
        <f>(((B329/B328)-(C329/C328))*H328)-IF(H329&lt;&gt;H328, Inputs!$B$4, 0)</f>
        <v>0</v>
      </c>
      <c r="J329" s="2">
        <f>J328*(1+I329)</f>
        <v>0</v>
      </c>
      <c r="K329" s="3">
        <f>(B329-B328)/B328</f>
        <v>0</v>
      </c>
      <c r="L329" s="2">
        <f>MAX(J$2:J329)</f>
        <v>0</v>
      </c>
      <c r="M329" s="3">
        <f>(J329-L329)/L329</f>
        <v>0</v>
      </c>
    </row>
    <row r="330" spans="1:13">
      <c r="A330" t="s">
        <v>353</v>
      </c>
      <c r="B330" s="2">
        <v>52.95</v>
      </c>
      <c r="C330" s="2">
        <v>312.1633776</v>
      </c>
      <c r="D330" s="2">
        <f>B330/C330</f>
        <v>0</v>
      </c>
      <c r="E330" s="2">
        <f>(D330*(2/(Inputs!$B$1+1)))+(E329*(1-(2/(Inputs!$B$1+1))))</f>
        <v>0</v>
      </c>
      <c r="F330" s="2">
        <f>STDEV.S(OFFSET(D330, -(MIN(Inputs!$B$1, ROW()-1)-1), 0, MIN(Inputs!$B$1, ROW()-1), 1))</f>
        <v>0</v>
      </c>
      <c r="G330" s="2">
        <f>IF(F330=0, 0, (D330-E330)/F330)</f>
        <v>0</v>
      </c>
      <c r="H330">
        <f>IF(H329=0, IF(G330&gt;Inputs!$B$2, -1, IF(G330&lt;-Inputs!$B$2, 1, 0)), IF(AND(H329=1, G330&gt;-Inputs!$B$3), 0, IF(AND(H329=-1, G330&lt;Inputs!$B$3), 0, H329)))</f>
        <v>0</v>
      </c>
      <c r="I330" s="3">
        <f>(((B330/B329)-(C330/C329))*H329)-IF(H330&lt;&gt;H329, Inputs!$B$4, 0)</f>
        <v>0</v>
      </c>
      <c r="J330" s="2">
        <f>J329*(1+I330)</f>
        <v>0</v>
      </c>
      <c r="K330" s="3">
        <f>(B330-B329)/B329</f>
        <v>0</v>
      </c>
      <c r="L330" s="2">
        <f>MAX(J$2:J330)</f>
        <v>0</v>
      </c>
      <c r="M330" s="3">
        <f>(J330-L330)/L330</f>
        <v>0</v>
      </c>
    </row>
    <row r="331" spans="1:13">
      <c r="A331" t="s">
        <v>354</v>
      </c>
      <c r="B331" s="2">
        <v>46.85</v>
      </c>
      <c r="C331" s="2">
        <v>277.138182</v>
      </c>
      <c r="D331" s="2">
        <f>B331/C331</f>
        <v>0</v>
      </c>
      <c r="E331" s="2">
        <f>(D331*(2/(Inputs!$B$1+1)))+(E330*(1-(2/(Inputs!$B$1+1))))</f>
        <v>0</v>
      </c>
      <c r="F331" s="2">
        <f>STDEV.S(OFFSET(D331, -(MIN(Inputs!$B$1, ROW()-1)-1), 0, MIN(Inputs!$B$1, ROW()-1), 1))</f>
        <v>0</v>
      </c>
      <c r="G331" s="2">
        <f>IF(F331=0, 0, (D331-E331)/F331)</f>
        <v>0</v>
      </c>
      <c r="H331">
        <f>IF(H330=0, IF(G331&gt;Inputs!$B$2, -1, IF(G331&lt;-Inputs!$B$2, 1, 0)), IF(AND(H330=1, G331&gt;-Inputs!$B$3), 0, IF(AND(H330=-1, G331&lt;Inputs!$B$3), 0, H330)))</f>
        <v>0</v>
      </c>
      <c r="I331" s="3">
        <f>(((B331/B330)-(C331/C330))*H330)-IF(H331&lt;&gt;H330, Inputs!$B$4, 0)</f>
        <v>0</v>
      </c>
      <c r="J331" s="2">
        <f>J330*(1+I331)</f>
        <v>0</v>
      </c>
      <c r="K331" s="3">
        <f>(B331-B330)/B330</f>
        <v>0</v>
      </c>
      <c r="L331" s="2">
        <f>MAX(J$2:J331)</f>
        <v>0</v>
      </c>
      <c r="M331" s="3">
        <f>(J331-L331)/L331</f>
        <v>0</v>
      </c>
    </row>
    <row r="332" spans="1:13">
      <c r="A332" t="s">
        <v>355</v>
      </c>
      <c r="B332" s="2">
        <v>48.7</v>
      </c>
      <c r="C332" s="2">
        <v>290.43301</v>
      </c>
      <c r="D332" s="2">
        <f>B332/C332</f>
        <v>0</v>
      </c>
      <c r="E332" s="2">
        <f>(D332*(2/(Inputs!$B$1+1)))+(E331*(1-(2/(Inputs!$B$1+1))))</f>
        <v>0</v>
      </c>
      <c r="F332" s="2">
        <f>STDEV.S(OFFSET(D332, -(MIN(Inputs!$B$1, ROW()-1)-1), 0, MIN(Inputs!$B$1, ROW()-1), 1))</f>
        <v>0</v>
      </c>
      <c r="G332" s="2">
        <f>IF(F332=0, 0, (D332-E332)/F332)</f>
        <v>0</v>
      </c>
      <c r="H332">
        <f>IF(H331=0, IF(G332&gt;Inputs!$B$2, -1, IF(G332&lt;-Inputs!$B$2, 1, 0)), IF(AND(H331=1, G332&gt;-Inputs!$B$3), 0, IF(AND(H331=-1, G332&lt;Inputs!$B$3), 0, H331)))</f>
        <v>0</v>
      </c>
      <c r="I332" s="3">
        <f>(((B332/B331)-(C332/C331))*H331)-IF(H332&lt;&gt;H331, Inputs!$B$4, 0)</f>
        <v>0</v>
      </c>
      <c r="J332" s="2">
        <f>J331*(1+I332)</f>
        <v>0</v>
      </c>
      <c r="K332" s="3">
        <f>(B332-B331)/B331</f>
        <v>0</v>
      </c>
      <c r="L332" s="2">
        <f>MAX(J$2:J332)</f>
        <v>0</v>
      </c>
      <c r="M332" s="3">
        <f>(J332-L332)/L332</f>
        <v>0</v>
      </c>
    </row>
    <row r="333" spans="1:13">
      <c r="A333" t="s">
        <v>356</v>
      </c>
      <c r="B333" s="2">
        <v>52.91</v>
      </c>
      <c r="C333" s="2">
        <v>312.4139606000001</v>
      </c>
      <c r="D333" s="2">
        <f>B333/C333</f>
        <v>0</v>
      </c>
      <c r="E333" s="2">
        <f>(D333*(2/(Inputs!$B$1+1)))+(E332*(1-(2/(Inputs!$B$1+1))))</f>
        <v>0</v>
      </c>
      <c r="F333" s="2">
        <f>STDEV.S(OFFSET(D333, -(MIN(Inputs!$B$1, ROW()-1)-1), 0, MIN(Inputs!$B$1, ROW()-1), 1))</f>
        <v>0</v>
      </c>
      <c r="G333" s="2">
        <f>IF(F333=0, 0, (D333-E333)/F333)</f>
        <v>0</v>
      </c>
      <c r="H333">
        <f>IF(H332=0, IF(G333&gt;Inputs!$B$2, -1, IF(G333&lt;-Inputs!$B$2, 1, 0)), IF(AND(H332=1, G333&gt;-Inputs!$B$3), 0, IF(AND(H332=-1, G333&lt;Inputs!$B$3), 0, H332)))</f>
        <v>0</v>
      </c>
      <c r="I333" s="3">
        <f>(((B333/B332)-(C333/C332))*H332)-IF(H333&lt;&gt;H332, Inputs!$B$4, 0)</f>
        <v>0</v>
      </c>
      <c r="J333" s="2">
        <f>J332*(1+I333)</f>
        <v>0</v>
      </c>
      <c r="K333" s="3">
        <f>(B333-B332)/B332</f>
        <v>0</v>
      </c>
      <c r="L333" s="2">
        <f>MAX(J$2:J333)</f>
        <v>0</v>
      </c>
      <c r="M333" s="3">
        <f>(J333-L333)/L333</f>
        <v>0</v>
      </c>
    </row>
    <row r="334" spans="1:13">
      <c r="A334" t="s">
        <v>357</v>
      </c>
      <c r="B334" s="2">
        <v>53.11</v>
      </c>
      <c r="C334" s="2">
        <v>314.0712234</v>
      </c>
      <c r="D334" s="2">
        <f>B334/C334</f>
        <v>0</v>
      </c>
      <c r="E334" s="2">
        <f>(D334*(2/(Inputs!$B$1+1)))+(E333*(1-(2/(Inputs!$B$1+1))))</f>
        <v>0</v>
      </c>
      <c r="F334" s="2">
        <f>STDEV.S(OFFSET(D334, -(MIN(Inputs!$B$1, ROW()-1)-1), 0, MIN(Inputs!$B$1, ROW()-1), 1))</f>
        <v>0</v>
      </c>
      <c r="G334" s="2">
        <f>IF(F334=0, 0, (D334-E334)/F334)</f>
        <v>0</v>
      </c>
      <c r="H334">
        <f>IF(H333=0, IF(G334&gt;Inputs!$B$2, -1, IF(G334&lt;-Inputs!$B$2, 1, 0)), IF(AND(H333=1, G334&gt;-Inputs!$B$3), 0, IF(AND(H333=-1, G334&lt;Inputs!$B$3), 0, H333)))</f>
        <v>0</v>
      </c>
      <c r="I334" s="3">
        <f>(((B334/B333)-(C334/C333))*H333)-IF(H334&lt;&gt;H333, Inputs!$B$4, 0)</f>
        <v>0</v>
      </c>
      <c r="J334" s="2">
        <f>J333*(1+I334)</f>
        <v>0</v>
      </c>
      <c r="K334" s="3">
        <f>(B334-B333)/B333</f>
        <v>0</v>
      </c>
      <c r="L334" s="2">
        <f>MAX(J$2:J334)</f>
        <v>0</v>
      </c>
      <c r="M334" s="3">
        <f>(J334-L334)/L334</f>
        <v>0</v>
      </c>
    </row>
    <row r="335" spans="1:13">
      <c r="A335" t="s">
        <v>358</v>
      </c>
      <c r="B335" s="2">
        <v>54.63</v>
      </c>
      <c r="C335" s="2">
        <v>323.0238005200001</v>
      </c>
      <c r="D335" s="2">
        <f>B335/C335</f>
        <v>0</v>
      </c>
      <c r="E335" s="2">
        <f>(D335*(2/(Inputs!$B$1+1)))+(E334*(1-(2/(Inputs!$B$1+1))))</f>
        <v>0</v>
      </c>
      <c r="F335" s="2">
        <f>STDEV.S(OFFSET(D335, -(MIN(Inputs!$B$1, ROW()-1)-1), 0, MIN(Inputs!$B$1, ROW()-1), 1))</f>
        <v>0</v>
      </c>
      <c r="G335" s="2">
        <f>IF(F335=0, 0, (D335-E335)/F335)</f>
        <v>0</v>
      </c>
      <c r="H335">
        <f>IF(H334=0, IF(G335&gt;Inputs!$B$2, -1, IF(G335&lt;-Inputs!$B$2, 1, 0)), IF(AND(H334=1, G335&gt;-Inputs!$B$3), 0, IF(AND(H334=-1, G335&lt;Inputs!$B$3), 0, H334)))</f>
        <v>0</v>
      </c>
      <c r="I335" s="3">
        <f>(((B335/B334)-(C335/C334))*H334)-IF(H335&lt;&gt;H334, Inputs!$B$4, 0)</f>
        <v>0</v>
      </c>
      <c r="J335" s="2">
        <f>J334*(1+I335)</f>
        <v>0</v>
      </c>
      <c r="K335" s="3">
        <f>(B335-B334)/B334</f>
        <v>0</v>
      </c>
      <c r="L335" s="2">
        <f>MAX(J$2:J335)</f>
        <v>0</v>
      </c>
      <c r="M335" s="3">
        <f>(J335-L335)/L335</f>
        <v>0</v>
      </c>
    </row>
    <row r="336" spans="1:13">
      <c r="A336" t="s">
        <v>359</v>
      </c>
      <c r="B336" s="2">
        <v>54.66</v>
      </c>
      <c r="C336" s="2">
        <v>326.2642504900001</v>
      </c>
      <c r="D336" s="2">
        <f>B336/C336</f>
        <v>0</v>
      </c>
      <c r="E336" s="2">
        <f>(D336*(2/(Inputs!$B$1+1)))+(E335*(1-(2/(Inputs!$B$1+1))))</f>
        <v>0</v>
      </c>
      <c r="F336" s="2">
        <f>STDEV.S(OFFSET(D336, -(MIN(Inputs!$B$1, ROW()-1)-1), 0, MIN(Inputs!$B$1, ROW()-1), 1))</f>
        <v>0</v>
      </c>
      <c r="G336" s="2">
        <f>IF(F336=0, 0, (D336-E336)/F336)</f>
        <v>0</v>
      </c>
      <c r="H336">
        <f>IF(H335=0, IF(G336&gt;Inputs!$B$2, -1, IF(G336&lt;-Inputs!$B$2, 1, 0)), IF(AND(H335=1, G336&gt;-Inputs!$B$3), 0, IF(AND(H335=-1, G336&lt;Inputs!$B$3), 0, H335)))</f>
        <v>0</v>
      </c>
      <c r="I336" s="3">
        <f>(((B336/B335)-(C336/C335))*H335)-IF(H336&lt;&gt;H335, Inputs!$B$4, 0)</f>
        <v>0</v>
      </c>
      <c r="J336" s="2">
        <f>J335*(1+I336)</f>
        <v>0</v>
      </c>
      <c r="K336" s="3">
        <f>(B336-B335)/B335</f>
        <v>0</v>
      </c>
      <c r="L336" s="2">
        <f>MAX(J$2:J336)</f>
        <v>0</v>
      </c>
      <c r="M336" s="3">
        <f>(J336-L336)/L336</f>
        <v>0</v>
      </c>
    </row>
    <row r="337" spans="1:13">
      <c r="A337" t="s">
        <v>360</v>
      </c>
      <c r="B337" s="2">
        <v>56.04</v>
      </c>
      <c r="C337" s="2">
        <v>329.30223975</v>
      </c>
      <c r="D337" s="2">
        <f>B337/C337</f>
        <v>0</v>
      </c>
      <c r="E337" s="2">
        <f>(D337*(2/(Inputs!$B$1+1)))+(E336*(1-(2/(Inputs!$B$1+1))))</f>
        <v>0</v>
      </c>
      <c r="F337" s="2">
        <f>STDEV.S(OFFSET(D337, -(MIN(Inputs!$B$1, ROW()-1)-1), 0, MIN(Inputs!$B$1, ROW()-1), 1))</f>
        <v>0</v>
      </c>
      <c r="G337" s="2">
        <f>IF(F337=0, 0, (D337-E337)/F337)</f>
        <v>0</v>
      </c>
      <c r="H337">
        <f>IF(H336=0, IF(G337&gt;Inputs!$B$2, -1, IF(G337&lt;-Inputs!$B$2, 1, 0)), IF(AND(H336=1, G337&gt;-Inputs!$B$3), 0, IF(AND(H336=-1, G337&lt;Inputs!$B$3), 0, H336)))</f>
        <v>0</v>
      </c>
      <c r="I337" s="3">
        <f>(((B337/B336)-(C337/C336))*H336)-IF(H337&lt;&gt;H336, Inputs!$B$4, 0)</f>
        <v>0</v>
      </c>
      <c r="J337" s="2">
        <f>J336*(1+I337)</f>
        <v>0</v>
      </c>
      <c r="K337" s="3">
        <f>(B337-B336)/B336</f>
        <v>0</v>
      </c>
      <c r="L337" s="2">
        <f>MAX(J$2:J337)</f>
        <v>0</v>
      </c>
      <c r="M337" s="3">
        <f>(J337-L337)/L337</f>
        <v>0</v>
      </c>
    </row>
    <row r="338" spans="1:13">
      <c r="A338" t="s">
        <v>361</v>
      </c>
      <c r="B338" s="2">
        <v>55.86</v>
      </c>
      <c r="C338" s="2">
        <v>327.22388355</v>
      </c>
      <c r="D338" s="2">
        <f>B338/C338</f>
        <v>0</v>
      </c>
      <c r="E338" s="2">
        <f>(D338*(2/(Inputs!$B$1+1)))+(E337*(1-(2/(Inputs!$B$1+1))))</f>
        <v>0</v>
      </c>
      <c r="F338" s="2">
        <f>STDEV.S(OFFSET(D338, -(MIN(Inputs!$B$1, ROW()-1)-1), 0, MIN(Inputs!$B$1, ROW()-1), 1))</f>
        <v>0</v>
      </c>
      <c r="G338" s="2">
        <f>IF(F338=0, 0, (D338-E338)/F338)</f>
        <v>0</v>
      </c>
      <c r="H338">
        <f>IF(H337=0, IF(G338&gt;Inputs!$B$2, -1, IF(G338&lt;-Inputs!$B$2, 1, 0)), IF(AND(H337=1, G338&gt;-Inputs!$B$3), 0, IF(AND(H337=-1, G338&lt;Inputs!$B$3), 0, H337)))</f>
        <v>0</v>
      </c>
      <c r="I338" s="3">
        <f>(((B338/B337)-(C338/C337))*H337)-IF(H338&lt;&gt;H337, Inputs!$B$4, 0)</f>
        <v>0</v>
      </c>
      <c r="J338" s="2">
        <f>J337*(1+I338)</f>
        <v>0</v>
      </c>
      <c r="K338" s="3">
        <f>(B338-B337)/B337</f>
        <v>0</v>
      </c>
      <c r="L338" s="2">
        <f>MAX(J$2:J338)</f>
        <v>0</v>
      </c>
      <c r="M338" s="3">
        <f>(J338-L338)/L338</f>
        <v>0</v>
      </c>
    </row>
    <row r="339" spans="1:13">
      <c r="A339" t="s">
        <v>362</v>
      </c>
      <c r="B339" s="2">
        <v>56.57</v>
      </c>
      <c r="C339" s="2">
        <v>334.89558575</v>
      </c>
      <c r="D339" s="2">
        <f>B339/C339</f>
        <v>0</v>
      </c>
      <c r="E339" s="2">
        <f>(D339*(2/(Inputs!$B$1+1)))+(E338*(1-(2/(Inputs!$B$1+1))))</f>
        <v>0</v>
      </c>
      <c r="F339" s="2">
        <f>STDEV.S(OFFSET(D339, -(MIN(Inputs!$B$1, ROW()-1)-1), 0, MIN(Inputs!$B$1, ROW()-1), 1))</f>
        <v>0</v>
      </c>
      <c r="G339" s="2">
        <f>IF(F339=0, 0, (D339-E339)/F339)</f>
        <v>0</v>
      </c>
      <c r="H339">
        <f>IF(H338=0, IF(G339&gt;Inputs!$B$2, -1, IF(G339&lt;-Inputs!$B$2, 1, 0)), IF(AND(H338=1, G339&gt;-Inputs!$B$3), 0, IF(AND(H338=-1, G339&lt;Inputs!$B$3), 0, H338)))</f>
        <v>0</v>
      </c>
      <c r="I339" s="3">
        <f>(((B339/B338)-(C339/C338))*H338)-IF(H339&lt;&gt;H338, Inputs!$B$4, 0)</f>
        <v>0</v>
      </c>
      <c r="J339" s="2">
        <f>J338*(1+I339)</f>
        <v>0</v>
      </c>
      <c r="K339" s="3">
        <f>(B339-B338)/B338</f>
        <v>0</v>
      </c>
      <c r="L339" s="2">
        <f>MAX(J$2:J339)</f>
        <v>0</v>
      </c>
      <c r="M339" s="3">
        <f>(J339-L339)/L339</f>
        <v>0</v>
      </c>
    </row>
    <row r="340" spans="1:13">
      <c r="A340" t="s">
        <v>363</v>
      </c>
      <c r="B340" s="2">
        <v>55.45</v>
      </c>
      <c r="C340" s="2">
        <v>327.08974524</v>
      </c>
      <c r="D340" s="2">
        <f>B340/C340</f>
        <v>0</v>
      </c>
      <c r="E340" s="2">
        <f>(D340*(2/(Inputs!$B$1+1)))+(E339*(1-(2/(Inputs!$B$1+1))))</f>
        <v>0</v>
      </c>
      <c r="F340" s="2">
        <f>STDEV.S(OFFSET(D340, -(MIN(Inputs!$B$1, ROW()-1)-1), 0, MIN(Inputs!$B$1, ROW()-1), 1))</f>
        <v>0</v>
      </c>
      <c r="G340" s="2">
        <f>IF(F340=0, 0, (D340-E340)/F340)</f>
        <v>0</v>
      </c>
      <c r="H340">
        <f>IF(H339=0, IF(G340&gt;Inputs!$B$2, -1, IF(G340&lt;-Inputs!$B$2, 1, 0)), IF(AND(H339=1, G340&gt;-Inputs!$B$3), 0, IF(AND(H339=-1, G340&lt;Inputs!$B$3), 0, H339)))</f>
        <v>0</v>
      </c>
      <c r="I340" s="3">
        <f>(((B340/B339)-(C340/C339))*H339)-IF(H340&lt;&gt;H339, Inputs!$B$4, 0)</f>
        <v>0</v>
      </c>
      <c r="J340" s="2">
        <f>J339*(1+I340)</f>
        <v>0</v>
      </c>
      <c r="K340" s="3">
        <f>(B340-B339)/B339</f>
        <v>0</v>
      </c>
      <c r="L340" s="2">
        <f>MAX(J$2:J340)</f>
        <v>0</v>
      </c>
      <c r="M340" s="3">
        <f>(J340-L340)/L340</f>
        <v>0</v>
      </c>
    </row>
    <row r="341" spans="1:13">
      <c r="A341" t="s">
        <v>364</v>
      </c>
      <c r="B341" s="2">
        <v>55.65</v>
      </c>
      <c r="C341" s="2">
        <v>328.68880545</v>
      </c>
      <c r="D341" s="2">
        <f>B341/C341</f>
        <v>0</v>
      </c>
      <c r="E341" s="2">
        <f>(D341*(2/(Inputs!$B$1+1)))+(E340*(1-(2/(Inputs!$B$1+1))))</f>
        <v>0</v>
      </c>
      <c r="F341" s="2">
        <f>STDEV.S(OFFSET(D341, -(MIN(Inputs!$B$1, ROW()-1)-1), 0, MIN(Inputs!$B$1, ROW()-1), 1))</f>
        <v>0</v>
      </c>
      <c r="G341" s="2">
        <f>IF(F341=0, 0, (D341-E341)/F341)</f>
        <v>0</v>
      </c>
      <c r="H341">
        <f>IF(H340=0, IF(G341&gt;Inputs!$B$2, -1, IF(G341&lt;-Inputs!$B$2, 1, 0)), IF(AND(H340=1, G341&gt;-Inputs!$B$3), 0, IF(AND(H340=-1, G341&lt;Inputs!$B$3), 0, H340)))</f>
        <v>0</v>
      </c>
      <c r="I341" s="3">
        <f>(((B341/B340)-(C341/C340))*H340)-IF(H341&lt;&gt;H340, Inputs!$B$4, 0)</f>
        <v>0</v>
      </c>
      <c r="J341" s="2">
        <f>J340*(1+I341)</f>
        <v>0</v>
      </c>
      <c r="K341" s="3">
        <f>(B341-B340)/B340</f>
        <v>0</v>
      </c>
      <c r="L341" s="2">
        <f>MAX(J$2:J341)</f>
        <v>0</v>
      </c>
      <c r="M341" s="3">
        <f>(J341-L341)/L341</f>
        <v>0</v>
      </c>
    </row>
    <row r="342" spans="1:13">
      <c r="A342" t="s">
        <v>365</v>
      </c>
      <c r="B342" s="2">
        <v>55.63</v>
      </c>
      <c r="C342" s="2">
        <v>328.40890004</v>
      </c>
      <c r="D342" s="2">
        <f>B342/C342</f>
        <v>0</v>
      </c>
      <c r="E342" s="2">
        <f>(D342*(2/(Inputs!$B$1+1)))+(E341*(1-(2/(Inputs!$B$1+1))))</f>
        <v>0</v>
      </c>
      <c r="F342" s="2">
        <f>STDEV.S(OFFSET(D342, -(MIN(Inputs!$B$1, ROW()-1)-1), 0, MIN(Inputs!$B$1, ROW()-1), 1))</f>
        <v>0</v>
      </c>
      <c r="G342" s="2">
        <f>IF(F342=0, 0, (D342-E342)/F342)</f>
        <v>0</v>
      </c>
      <c r="H342">
        <f>IF(H341=0, IF(G342&gt;Inputs!$B$2, -1, IF(G342&lt;-Inputs!$B$2, 1, 0)), IF(AND(H341=1, G342&gt;-Inputs!$B$3), 0, IF(AND(H341=-1, G342&lt;Inputs!$B$3), 0, H341)))</f>
        <v>0</v>
      </c>
      <c r="I342" s="3">
        <f>(((B342/B341)-(C342/C341))*H341)-IF(H342&lt;&gt;H341, Inputs!$B$4, 0)</f>
        <v>0</v>
      </c>
      <c r="J342" s="2">
        <f>J341*(1+I342)</f>
        <v>0</v>
      </c>
      <c r="K342" s="3">
        <f>(B342-B341)/B341</f>
        <v>0</v>
      </c>
      <c r="L342" s="2">
        <f>MAX(J$2:J342)</f>
        <v>0</v>
      </c>
      <c r="M342" s="3">
        <f>(J342-L342)/L342</f>
        <v>0</v>
      </c>
    </row>
    <row r="343" spans="1:13">
      <c r="A343" t="s">
        <v>366</v>
      </c>
      <c r="B343" s="2">
        <v>55.11</v>
      </c>
      <c r="C343" s="2">
        <v>327.01040414</v>
      </c>
      <c r="D343" s="2">
        <f>B343/C343</f>
        <v>0</v>
      </c>
      <c r="E343" s="2">
        <f>(D343*(2/(Inputs!$B$1+1)))+(E342*(1-(2/(Inputs!$B$1+1))))</f>
        <v>0</v>
      </c>
      <c r="F343" s="2">
        <f>STDEV.S(OFFSET(D343, -(MIN(Inputs!$B$1, ROW()-1)-1), 0, MIN(Inputs!$B$1, ROW()-1), 1))</f>
        <v>0</v>
      </c>
      <c r="G343" s="2">
        <f>IF(F343=0, 0, (D343-E343)/F343)</f>
        <v>0</v>
      </c>
      <c r="H343">
        <f>IF(H342=0, IF(G343&gt;Inputs!$B$2, -1, IF(G343&lt;-Inputs!$B$2, 1, 0)), IF(AND(H342=1, G343&gt;-Inputs!$B$3), 0, IF(AND(H342=-1, G343&lt;Inputs!$B$3), 0, H342)))</f>
        <v>0</v>
      </c>
      <c r="I343" s="3">
        <f>(((B343/B342)-(C343/C342))*H342)-IF(H343&lt;&gt;H342, Inputs!$B$4, 0)</f>
        <v>0</v>
      </c>
      <c r="J343" s="2">
        <f>J342*(1+I343)</f>
        <v>0</v>
      </c>
      <c r="K343" s="3">
        <f>(B343-B342)/B342</f>
        <v>0</v>
      </c>
      <c r="L343" s="2">
        <f>MAX(J$2:J343)</f>
        <v>0</v>
      </c>
      <c r="M343" s="3">
        <f>(J343-L343)/L343</f>
        <v>0</v>
      </c>
    </row>
    <row r="344" spans="1:13">
      <c r="A344" t="s">
        <v>367</v>
      </c>
      <c r="B344" s="2">
        <v>54.06</v>
      </c>
      <c r="C344" s="2">
        <v>318.7650003</v>
      </c>
      <c r="D344" s="2">
        <f>B344/C344</f>
        <v>0</v>
      </c>
      <c r="E344" s="2">
        <f>(D344*(2/(Inputs!$B$1+1)))+(E343*(1-(2/(Inputs!$B$1+1))))</f>
        <v>0</v>
      </c>
      <c r="F344" s="2">
        <f>STDEV.S(OFFSET(D344, -(MIN(Inputs!$B$1, ROW()-1)-1), 0, MIN(Inputs!$B$1, ROW()-1), 1))</f>
        <v>0</v>
      </c>
      <c r="G344" s="2">
        <f>IF(F344=0, 0, (D344-E344)/F344)</f>
        <v>0</v>
      </c>
      <c r="H344">
        <f>IF(H343=0, IF(G344&gt;Inputs!$B$2, -1, IF(G344&lt;-Inputs!$B$2, 1, 0)), IF(AND(H343=1, G344&gt;-Inputs!$B$3), 0, IF(AND(H343=-1, G344&lt;Inputs!$B$3), 0, H343)))</f>
        <v>0</v>
      </c>
      <c r="I344" s="3">
        <f>(((B344/B343)-(C344/C343))*H343)-IF(H344&lt;&gt;H343, Inputs!$B$4, 0)</f>
        <v>0</v>
      </c>
      <c r="J344" s="2">
        <f>J343*(1+I344)</f>
        <v>0</v>
      </c>
      <c r="K344" s="3">
        <f>(B344-B343)/B343</f>
        <v>0</v>
      </c>
      <c r="L344" s="2">
        <f>MAX(J$2:J344)</f>
        <v>0</v>
      </c>
      <c r="M344" s="3">
        <f>(J344-L344)/L344</f>
        <v>0</v>
      </c>
    </row>
    <row r="345" spans="1:13">
      <c r="A345" t="s">
        <v>368</v>
      </c>
      <c r="B345" s="2">
        <v>51.43</v>
      </c>
      <c r="C345" s="2">
        <v>303.57479154</v>
      </c>
      <c r="D345" s="2">
        <f>B345/C345</f>
        <v>0</v>
      </c>
      <c r="E345" s="2">
        <f>(D345*(2/(Inputs!$B$1+1)))+(E344*(1-(2/(Inputs!$B$1+1))))</f>
        <v>0</v>
      </c>
      <c r="F345" s="2">
        <f>STDEV.S(OFFSET(D345, -(MIN(Inputs!$B$1, ROW()-1)-1), 0, MIN(Inputs!$B$1, ROW()-1), 1))</f>
        <v>0</v>
      </c>
      <c r="G345" s="2">
        <f>IF(F345=0, 0, (D345-E345)/F345)</f>
        <v>0</v>
      </c>
      <c r="H345">
        <f>IF(H344=0, IF(G345&gt;Inputs!$B$2, -1, IF(G345&lt;-Inputs!$B$2, 1, 0)), IF(AND(H344=1, G345&gt;-Inputs!$B$3), 0, IF(AND(H344=-1, G345&lt;Inputs!$B$3), 0, H344)))</f>
        <v>0</v>
      </c>
      <c r="I345" s="3">
        <f>(((B345/B344)-(C345/C344))*H344)-IF(H345&lt;&gt;H344, Inputs!$B$4, 0)</f>
        <v>0</v>
      </c>
      <c r="J345" s="2">
        <f>J344*(1+I345)</f>
        <v>0</v>
      </c>
      <c r="K345" s="3">
        <f>(B345-B344)/B344</f>
        <v>0</v>
      </c>
      <c r="L345" s="2">
        <f>MAX(J$2:J345)</f>
        <v>0</v>
      </c>
      <c r="M345" s="3">
        <f>(J345-L345)/L345</f>
        <v>0</v>
      </c>
    </row>
    <row r="346" spans="1:13">
      <c r="A346" t="s">
        <v>369</v>
      </c>
      <c r="B346" s="2">
        <v>52.65</v>
      </c>
      <c r="C346" s="2">
        <v>311.9186874</v>
      </c>
      <c r="D346" s="2">
        <f>B346/C346</f>
        <v>0</v>
      </c>
      <c r="E346" s="2">
        <f>(D346*(2/(Inputs!$B$1+1)))+(E345*(1-(2/(Inputs!$B$1+1))))</f>
        <v>0</v>
      </c>
      <c r="F346" s="2">
        <f>STDEV.S(OFFSET(D346, -(MIN(Inputs!$B$1, ROW()-1)-1), 0, MIN(Inputs!$B$1, ROW()-1), 1))</f>
        <v>0</v>
      </c>
      <c r="G346" s="2">
        <f>IF(F346=0, 0, (D346-E346)/F346)</f>
        <v>0</v>
      </c>
      <c r="H346">
        <f>IF(H345=0, IF(G346&gt;Inputs!$B$2, -1, IF(G346&lt;-Inputs!$B$2, 1, 0)), IF(AND(H345=1, G346&gt;-Inputs!$B$3), 0, IF(AND(H345=-1, G346&lt;Inputs!$B$3), 0, H345)))</f>
        <v>0</v>
      </c>
      <c r="I346" s="3">
        <f>(((B346/B345)-(C346/C345))*H345)-IF(H346&lt;&gt;H345, Inputs!$B$4, 0)</f>
        <v>0</v>
      </c>
      <c r="J346" s="2">
        <f>J345*(1+I346)</f>
        <v>0</v>
      </c>
      <c r="K346" s="3">
        <f>(B346-B345)/B345</f>
        <v>0</v>
      </c>
      <c r="L346" s="2">
        <f>MAX(J$2:J346)</f>
        <v>0</v>
      </c>
      <c r="M346" s="3">
        <f>(J346-L346)/L346</f>
        <v>0</v>
      </c>
    </row>
    <row r="347" spans="1:13">
      <c r="A347" t="s">
        <v>370</v>
      </c>
      <c r="B347" s="2">
        <v>51.67</v>
      </c>
      <c r="C347" s="2">
        <v>302.98085086</v>
      </c>
      <c r="D347" s="2">
        <f>B347/C347</f>
        <v>0</v>
      </c>
      <c r="E347" s="2">
        <f>(D347*(2/(Inputs!$B$1+1)))+(E346*(1-(2/(Inputs!$B$1+1))))</f>
        <v>0</v>
      </c>
      <c r="F347" s="2">
        <f>STDEV.S(OFFSET(D347, -(MIN(Inputs!$B$1, ROW()-1)-1), 0, MIN(Inputs!$B$1, ROW()-1), 1))</f>
        <v>0</v>
      </c>
      <c r="G347" s="2">
        <f>IF(F347=0, 0, (D347-E347)/F347)</f>
        <v>0</v>
      </c>
      <c r="H347">
        <f>IF(H346=0, IF(G347&gt;Inputs!$B$2, -1, IF(G347&lt;-Inputs!$B$2, 1, 0)), IF(AND(H346=1, G347&gt;-Inputs!$B$3), 0, IF(AND(H346=-1, G347&lt;Inputs!$B$3), 0, H346)))</f>
        <v>0</v>
      </c>
      <c r="I347" s="3">
        <f>(((B347/B346)-(C347/C346))*H346)-IF(H347&lt;&gt;H346, Inputs!$B$4, 0)</f>
        <v>0</v>
      </c>
      <c r="J347" s="2">
        <f>J346*(1+I347)</f>
        <v>0</v>
      </c>
      <c r="K347" s="3">
        <f>(B347-B346)/B346</f>
        <v>0</v>
      </c>
      <c r="L347" s="2">
        <f>MAX(J$2:J347)</f>
        <v>0</v>
      </c>
      <c r="M347" s="3">
        <f>(J347-L347)/L347</f>
        <v>0</v>
      </c>
    </row>
    <row r="348" spans="1:13">
      <c r="A348" t="s">
        <v>371</v>
      </c>
      <c r="B348" s="2">
        <v>52.2</v>
      </c>
      <c r="C348" s="2">
        <v>306.2814496</v>
      </c>
      <c r="D348" s="2">
        <f>B348/C348</f>
        <v>0</v>
      </c>
      <c r="E348" s="2">
        <f>(D348*(2/(Inputs!$B$1+1)))+(E347*(1-(2/(Inputs!$B$1+1))))</f>
        <v>0</v>
      </c>
      <c r="F348" s="2">
        <f>STDEV.S(OFFSET(D348, -(MIN(Inputs!$B$1, ROW()-1)-1), 0, MIN(Inputs!$B$1, ROW()-1), 1))</f>
        <v>0</v>
      </c>
      <c r="G348" s="2">
        <f>IF(F348=0, 0, (D348-E348)/F348)</f>
        <v>0</v>
      </c>
      <c r="H348">
        <f>IF(H347=0, IF(G348&gt;Inputs!$B$2, -1, IF(G348&lt;-Inputs!$B$2, 1, 0)), IF(AND(H347=1, G348&gt;-Inputs!$B$3), 0, IF(AND(H347=-1, G348&lt;Inputs!$B$3), 0, H347)))</f>
        <v>0</v>
      </c>
      <c r="I348" s="3">
        <f>(((B348/B347)-(C348/C347))*H347)-IF(H348&lt;&gt;H347, Inputs!$B$4, 0)</f>
        <v>0</v>
      </c>
      <c r="J348" s="2">
        <f>J347*(1+I348)</f>
        <v>0</v>
      </c>
      <c r="K348" s="3">
        <f>(B348-B347)/B347</f>
        <v>0</v>
      </c>
      <c r="L348" s="2">
        <f>MAX(J$2:J348)</f>
        <v>0</v>
      </c>
      <c r="M348" s="3">
        <f>(J348-L348)/L348</f>
        <v>0</v>
      </c>
    </row>
    <row r="349" spans="1:13">
      <c r="A349" t="s">
        <v>372</v>
      </c>
      <c r="B349" s="2">
        <v>54.81</v>
      </c>
      <c r="C349" s="2">
        <v>322.02706688</v>
      </c>
      <c r="D349" s="2">
        <f>B349/C349</f>
        <v>0</v>
      </c>
      <c r="E349" s="2">
        <f>(D349*(2/(Inputs!$B$1+1)))+(E348*(1-(2/(Inputs!$B$1+1))))</f>
        <v>0</v>
      </c>
      <c r="F349" s="2">
        <f>STDEV.S(OFFSET(D349, -(MIN(Inputs!$B$1, ROW()-1)-1), 0, MIN(Inputs!$B$1, ROW()-1), 1))</f>
        <v>0</v>
      </c>
      <c r="G349" s="2">
        <f>IF(F349=0, 0, (D349-E349)/F349)</f>
        <v>0</v>
      </c>
      <c r="H349">
        <f>IF(H348=0, IF(G349&gt;Inputs!$B$2, -1, IF(G349&lt;-Inputs!$B$2, 1, 0)), IF(AND(H348=1, G349&gt;-Inputs!$B$3), 0, IF(AND(H348=-1, G349&lt;Inputs!$B$3), 0, H348)))</f>
        <v>0</v>
      </c>
      <c r="I349" s="3">
        <f>(((B349/B348)-(C349/C348))*H348)-IF(H349&lt;&gt;H348, Inputs!$B$4, 0)</f>
        <v>0</v>
      </c>
      <c r="J349" s="2">
        <f>J348*(1+I349)</f>
        <v>0</v>
      </c>
      <c r="K349" s="3">
        <f>(B349-B348)/B348</f>
        <v>0</v>
      </c>
      <c r="L349" s="2">
        <f>MAX(J$2:J349)</f>
        <v>0</v>
      </c>
      <c r="M349" s="3">
        <f>(J349-L349)/L349</f>
        <v>0</v>
      </c>
    </row>
    <row r="350" spans="1:13">
      <c r="A350" t="s">
        <v>373</v>
      </c>
      <c r="B350" s="2">
        <v>53.97</v>
      </c>
      <c r="C350" s="2">
        <v>317.46347403</v>
      </c>
      <c r="D350" s="2">
        <f>B350/C350</f>
        <v>0</v>
      </c>
      <c r="E350" s="2">
        <f>(D350*(2/(Inputs!$B$1+1)))+(E349*(1-(2/(Inputs!$B$1+1))))</f>
        <v>0</v>
      </c>
      <c r="F350" s="2">
        <f>STDEV.S(OFFSET(D350, -(MIN(Inputs!$B$1, ROW()-1)-1), 0, MIN(Inputs!$B$1, ROW()-1), 1))</f>
        <v>0</v>
      </c>
      <c r="G350" s="2">
        <f>IF(F350=0, 0, (D350-E350)/F350)</f>
        <v>0</v>
      </c>
      <c r="H350">
        <f>IF(H349=0, IF(G350&gt;Inputs!$B$2, -1, IF(G350&lt;-Inputs!$B$2, 1, 0)), IF(AND(H349=1, G350&gt;-Inputs!$B$3), 0, IF(AND(H349=-1, G350&lt;Inputs!$B$3), 0, H349)))</f>
        <v>0</v>
      </c>
      <c r="I350" s="3">
        <f>(((B350/B349)-(C350/C349))*H349)-IF(H350&lt;&gt;H349, Inputs!$B$4, 0)</f>
        <v>0</v>
      </c>
      <c r="J350" s="2">
        <f>J349*(1+I350)</f>
        <v>0</v>
      </c>
      <c r="K350" s="3">
        <f>(B350-B349)/B349</f>
        <v>0</v>
      </c>
      <c r="L350" s="2">
        <f>MAX(J$2:J350)</f>
        <v>0</v>
      </c>
      <c r="M350" s="3">
        <f>(J350-L350)/L350</f>
        <v>0</v>
      </c>
    </row>
    <row r="351" spans="1:13">
      <c r="A351" t="s">
        <v>374</v>
      </c>
      <c r="B351" s="2">
        <v>54.29</v>
      </c>
      <c r="C351" s="2">
        <v>319.5209865</v>
      </c>
      <c r="D351" s="2">
        <f>B351/C351</f>
        <v>0</v>
      </c>
      <c r="E351" s="2">
        <f>(D351*(2/(Inputs!$B$1+1)))+(E350*(1-(2/(Inputs!$B$1+1))))</f>
        <v>0</v>
      </c>
      <c r="F351" s="2">
        <f>STDEV.S(OFFSET(D351, -(MIN(Inputs!$B$1, ROW()-1)-1), 0, MIN(Inputs!$B$1, ROW()-1), 1))</f>
        <v>0</v>
      </c>
      <c r="G351" s="2">
        <f>IF(F351=0, 0, (D351-E351)/F351)</f>
        <v>0</v>
      </c>
      <c r="H351">
        <f>IF(H350=0, IF(G351&gt;Inputs!$B$2, -1, IF(G351&lt;-Inputs!$B$2, 1, 0)), IF(AND(H350=1, G351&gt;-Inputs!$B$3), 0, IF(AND(H350=-1, G351&lt;Inputs!$B$3), 0, H350)))</f>
        <v>0</v>
      </c>
      <c r="I351" s="3">
        <f>(((B351/B350)-(C351/C350))*H350)-IF(H351&lt;&gt;H350, Inputs!$B$4, 0)</f>
        <v>0</v>
      </c>
      <c r="J351" s="2">
        <f>J350*(1+I351)</f>
        <v>0</v>
      </c>
      <c r="K351" s="3">
        <f>(B351-B350)/B350</f>
        <v>0</v>
      </c>
      <c r="L351" s="2">
        <f>MAX(J$2:J351)</f>
        <v>0</v>
      </c>
      <c r="M351" s="3">
        <f>(J351-L351)/L351</f>
        <v>0</v>
      </c>
    </row>
    <row r="352" spans="1:13">
      <c r="A352" t="s">
        <v>375</v>
      </c>
      <c r="B352" s="2">
        <v>54.2</v>
      </c>
      <c r="C352" s="2">
        <v>320.2971613</v>
      </c>
      <c r="D352" s="2">
        <f>B352/C352</f>
        <v>0</v>
      </c>
      <c r="E352" s="2">
        <f>(D352*(2/(Inputs!$B$1+1)))+(E351*(1-(2/(Inputs!$B$1+1))))</f>
        <v>0</v>
      </c>
      <c r="F352" s="2">
        <f>STDEV.S(OFFSET(D352, -(MIN(Inputs!$B$1, ROW()-1)-1), 0, MIN(Inputs!$B$1, ROW()-1), 1))</f>
        <v>0</v>
      </c>
      <c r="G352" s="2">
        <f>IF(F352=0, 0, (D352-E352)/F352)</f>
        <v>0</v>
      </c>
      <c r="H352">
        <f>IF(H351=0, IF(G352&gt;Inputs!$B$2, -1, IF(G352&lt;-Inputs!$B$2, 1, 0)), IF(AND(H351=1, G352&gt;-Inputs!$B$3), 0, IF(AND(H351=-1, G352&lt;Inputs!$B$3), 0, H351)))</f>
        <v>0</v>
      </c>
      <c r="I352" s="3">
        <f>(((B352/B351)-(C352/C351))*H351)-IF(H352&lt;&gt;H351, Inputs!$B$4, 0)</f>
        <v>0</v>
      </c>
      <c r="J352" s="2">
        <f>J351*(1+I352)</f>
        <v>0</v>
      </c>
      <c r="K352" s="3">
        <f>(B352-B351)/B351</f>
        <v>0</v>
      </c>
      <c r="L352" s="2">
        <f>MAX(J$2:J352)</f>
        <v>0</v>
      </c>
      <c r="M352" s="3">
        <f>(J352-L352)/L352</f>
        <v>0</v>
      </c>
    </row>
    <row r="353" spans="1:13">
      <c r="A353" t="s">
        <v>376</v>
      </c>
      <c r="B353" s="2">
        <v>54.17</v>
      </c>
      <c r="C353" s="2">
        <v>320.28859947</v>
      </c>
      <c r="D353" s="2">
        <f>B353/C353</f>
        <v>0</v>
      </c>
      <c r="E353" s="2">
        <f>(D353*(2/(Inputs!$B$1+1)))+(E352*(1-(2/(Inputs!$B$1+1))))</f>
        <v>0</v>
      </c>
      <c r="F353" s="2">
        <f>STDEV.S(OFFSET(D353, -(MIN(Inputs!$B$1, ROW()-1)-1), 0, MIN(Inputs!$B$1, ROW()-1), 1))</f>
        <v>0</v>
      </c>
      <c r="G353" s="2">
        <f>IF(F353=0, 0, (D353-E353)/F353)</f>
        <v>0</v>
      </c>
      <c r="H353">
        <f>IF(H352=0, IF(G353&gt;Inputs!$B$2, -1, IF(G353&lt;-Inputs!$B$2, 1, 0)), IF(AND(H352=1, G353&gt;-Inputs!$B$3), 0, IF(AND(H352=-1, G353&lt;Inputs!$B$3), 0, H352)))</f>
        <v>0</v>
      </c>
      <c r="I353" s="3">
        <f>(((B353/B352)-(C353/C352))*H352)-IF(H353&lt;&gt;H352, Inputs!$B$4, 0)</f>
        <v>0</v>
      </c>
      <c r="J353" s="2">
        <f>J352*(1+I353)</f>
        <v>0</v>
      </c>
      <c r="K353" s="3">
        <f>(B353-B352)/B352</f>
        <v>0</v>
      </c>
      <c r="L353" s="2">
        <f>MAX(J$2:J353)</f>
        <v>0</v>
      </c>
      <c r="M353" s="3">
        <f>(J353-L353)/L353</f>
        <v>0</v>
      </c>
    </row>
    <row r="354" spans="1:13">
      <c r="A354" t="s">
        <v>377</v>
      </c>
      <c r="B354" s="2">
        <v>53.95</v>
      </c>
      <c r="C354" s="2">
        <v>315.74410415</v>
      </c>
      <c r="D354" s="2">
        <f>B354/C354</f>
        <v>0</v>
      </c>
      <c r="E354" s="2">
        <f>(D354*(2/(Inputs!$B$1+1)))+(E353*(1-(2/(Inputs!$B$1+1))))</f>
        <v>0</v>
      </c>
      <c r="F354" s="2">
        <f>STDEV.S(OFFSET(D354, -(MIN(Inputs!$B$1, ROW()-1)-1), 0, MIN(Inputs!$B$1, ROW()-1), 1))</f>
        <v>0</v>
      </c>
      <c r="G354" s="2">
        <f>IF(F354=0, 0, (D354-E354)/F354)</f>
        <v>0</v>
      </c>
      <c r="H354">
        <f>IF(H353=0, IF(G354&gt;Inputs!$B$2, -1, IF(G354&lt;-Inputs!$B$2, 1, 0)), IF(AND(H353=1, G354&gt;-Inputs!$B$3), 0, IF(AND(H353=-1, G354&lt;Inputs!$B$3), 0, H353)))</f>
        <v>0</v>
      </c>
      <c r="I354" s="3">
        <f>(((B354/B353)-(C354/C353))*H353)-IF(H354&lt;&gt;H353, Inputs!$B$4, 0)</f>
        <v>0</v>
      </c>
      <c r="J354" s="2">
        <f>J353*(1+I354)</f>
        <v>0</v>
      </c>
      <c r="K354" s="3">
        <f>(B354-B353)/B353</f>
        <v>0</v>
      </c>
      <c r="L354" s="2">
        <f>MAX(J$2:J354)</f>
        <v>0</v>
      </c>
      <c r="M354" s="3">
        <f>(J354-L354)/L354</f>
        <v>0</v>
      </c>
    </row>
    <row r="355" spans="1:13">
      <c r="A355" t="s">
        <v>378</v>
      </c>
      <c r="B355" s="2">
        <v>53.92</v>
      </c>
      <c r="C355" s="2">
        <v>316.49442214</v>
      </c>
      <c r="D355" s="2">
        <f>B355/C355</f>
        <v>0</v>
      </c>
      <c r="E355" s="2">
        <f>(D355*(2/(Inputs!$B$1+1)))+(E354*(1-(2/(Inputs!$B$1+1))))</f>
        <v>0</v>
      </c>
      <c r="F355" s="2">
        <f>STDEV.S(OFFSET(D355, -(MIN(Inputs!$B$1, ROW()-1)-1), 0, MIN(Inputs!$B$1, ROW()-1), 1))</f>
        <v>0</v>
      </c>
      <c r="G355" s="2">
        <f>IF(F355=0, 0, (D355-E355)/F355)</f>
        <v>0</v>
      </c>
      <c r="H355">
        <f>IF(H354=0, IF(G355&gt;Inputs!$B$2, -1, IF(G355&lt;-Inputs!$B$2, 1, 0)), IF(AND(H354=1, G355&gt;-Inputs!$B$3), 0, IF(AND(H354=-1, G355&lt;Inputs!$B$3), 0, H354)))</f>
        <v>0</v>
      </c>
      <c r="I355" s="3">
        <f>(((B355/B354)-(C355/C354))*H354)-IF(H355&lt;&gt;H354, Inputs!$B$4, 0)</f>
        <v>0</v>
      </c>
      <c r="J355" s="2">
        <f>J354*(1+I355)</f>
        <v>0</v>
      </c>
      <c r="K355" s="3">
        <f>(B355-B354)/B354</f>
        <v>0</v>
      </c>
      <c r="L355" s="2">
        <f>MAX(J$2:J355)</f>
        <v>0</v>
      </c>
      <c r="M355" s="3">
        <f>(J355-L355)/L355</f>
        <v>0</v>
      </c>
    </row>
    <row r="356" spans="1:13">
      <c r="A356" t="s">
        <v>379</v>
      </c>
      <c r="B356" s="2">
        <v>54.89</v>
      </c>
      <c r="C356" s="2">
        <v>323.04827383</v>
      </c>
      <c r="D356" s="2">
        <f>B356/C356</f>
        <v>0</v>
      </c>
      <c r="E356" s="2">
        <f>(D356*(2/(Inputs!$B$1+1)))+(E355*(1-(2/(Inputs!$B$1+1))))</f>
        <v>0</v>
      </c>
      <c r="F356" s="2">
        <f>STDEV.S(OFFSET(D356, -(MIN(Inputs!$B$1, ROW()-1)-1), 0, MIN(Inputs!$B$1, ROW()-1), 1))</f>
        <v>0</v>
      </c>
      <c r="G356" s="2">
        <f>IF(F356=0, 0, (D356-E356)/F356)</f>
        <v>0</v>
      </c>
      <c r="H356">
        <f>IF(H355=0, IF(G356&gt;Inputs!$B$2, -1, IF(G356&lt;-Inputs!$B$2, 1, 0)), IF(AND(H355=1, G356&gt;-Inputs!$B$3), 0, IF(AND(H355=-1, G356&lt;Inputs!$B$3), 0, H355)))</f>
        <v>0</v>
      </c>
      <c r="I356" s="3">
        <f>(((B356/B355)-(C356/C355))*H355)-IF(H356&lt;&gt;H355, Inputs!$B$4, 0)</f>
        <v>0</v>
      </c>
      <c r="J356" s="2">
        <f>J355*(1+I356)</f>
        <v>0</v>
      </c>
      <c r="K356" s="3">
        <f>(B356-B355)/B355</f>
        <v>0</v>
      </c>
      <c r="L356" s="2">
        <f>MAX(J$2:J356)</f>
        <v>0</v>
      </c>
      <c r="M356" s="3">
        <f>(J356-L356)/L356</f>
        <v>0</v>
      </c>
    </row>
    <row r="357" spans="1:13">
      <c r="A357" t="s">
        <v>380</v>
      </c>
      <c r="B357" s="2">
        <v>54.87</v>
      </c>
      <c r="C357" s="2">
        <v>323.47254842</v>
      </c>
      <c r="D357" s="2">
        <f>B357/C357</f>
        <v>0</v>
      </c>
      <c r="E357" s="2">
        <f>(D357*(2/(Inputs!$B$1+1)))+(E356*(1-(2/(Inputs!$B$1+1))))</f>
        <v>0</v>
      </c>
      <c r="F357" s="2">
        <f>STDEV.S(OFFSET(D357, -(MIN(Inputs!$B$1, ROW()-1)-1), 0, MIN(Inputs!$B$1, ROW()-1), 1))</f>
        <v>0</v>
      </c>
      <c r="G357" s="2">
        <f>IF(F357=0, 0, (D357-E357)/F357)</f>
        <v>0</v>
      </c>
      <c r="H357">
        <f>IF(H356=0, IF(G357&gt;Inputs!$B$2, -1, IF(G357&lt;-Inputs!$B$2, 1, 0)), IF(AND(H356=1, G357&gt;-Inputs!$B$3), 0, IF(AND(H356=-1, G357&lt;Inputs!$B$3), 0, H356)))</f>
        <v>0</v>
      </c>
      <c r="I357" s="3">
        <f>(((B357/B356)-(C357/C356))*H356)-IF(H357&lt;&gt;H356, Inputs!$B$4, 0)</f>
        <v>0</v>
      </c>
      <c r="J357" s="2">
        <f>J356*(1+I357)</f>
        <v>0</v>
      </c>
      <c r="K357" s="3">
        <f>(B357-B356)/B356</f>
        <v>0</v>
      </c>
      <c r="L357" s="2">
        <f>MAX(J$2:J357)</f>
        <v>0</v>
      </c>
      <c r="M357" s="3">
        <f>(J357-L357)/L357</f>
        <v>0</v>
      </c>
    </row>
    <row r="358" spans="1:13">
      <c r="A358" t="s">
        <v>381</v>
      </c>
      <c r="B358" s="2">
        <v>54.39</v>
      </c>
      <c r="C358" s="2">
        <v>324.26497152</v>
      </c>
      <c r="D358" s="2">
        <f>B358/C358</f>
        <v>0</v>
      </c>
      <c r="E358" s="2">
        <f>(D358*(2/(Inputs!$B$1+1)))+(E357*(1-(2/(Inputs!$B$1+1))))</f>
        <v>0</v>
      </c>
      <c r="F358" s="2">
        <f>STDEV.S(OFFSET(D358, -(MIN(Inputs!$B$1, ROW()-1)-1), 0, MIN(Inputs!$B$1, ROW()-1), 1))</f>
        <v>0</v>
      </c>
      <c r="G358" s="2">
        <f>IF(F358=0, 0, (D358-E358)/F358)</f>
        <v>0</v>
      </c>
      <c r="H358">
        <f>IF(H357=0, IF(G358&gt;Inputs!$B$2, -1, IF(G358&lt;-Inputs!$B$2, 1, 0)), IF(AND(H357=1, G358&gt;-Inputs!$B$3), 0, IF(AND(H357=-1, G358&lt;Inputs!$B$3), 0, H357)))</f>
        <v>0</v>
      </c>
      <c r="I358" s="3">
        <f>(((B358/B357)-(C358/C357))*H357)-IF(H358&lt;&gt;H357, Inputs!$B$4, 0)</f>
        <v>0</v>
      </c>
      <c r="J358" s="2">
        <f>J357*(1+I358)</f>
        <v>0</v>
      </c>
      <c r="K358" s="3">
        <f>(B358-B357)/B357</f>
        <v>0</v>
      </c>
      <c r="L358" s="2">
        <f>MAX(J$2:J358)</f>
        <v>0</v>
      </c>
      <c r="M358" s="3">
        <f>(J358-L358)/L358</f>
        <v>0</v>
      </c>
    </row>
    <row r="359" spans="1:13">
      <c r="A359" t="s">
        <v>382</v>
      </c>
      <c r="B359" s="2">
        <v>54.6</v>
      </c>
      <c r="C359" s="2">
        <v>321.43743225</v>
      </c>
      <c r="D359" s="2">
        <f>B359/C359</f>
        <v>0</v>
      </c>
      <c r="E359" s="2">
        <f>(D359*(2/(Inputs!$B$1+1)))+(E358*(1-(2/(Inputs!$B$1+1))))</f>
        <v>0</v>
      </c>
      <c r="F359" s="2">
        <f>STDEV.S(OFFSET(D359, -(MIN(Inputs!$B$1, ROW()-1)-1), 0, MIN(Inputs!$B$1, ROW()-1), 1))</f>
        <v>0</v>
      </c>
      <c r="G359" s="2">
        <f>IF(F359=0, 0, (D359-E359)/F359)</f>
        <v>0</v>
      </c>
      <c r="H359">
        <f>IF(H358=0, IF(G359&gt;Inputs!$B$2, -1, IF(G359&lt;-Inputs!$B$2, 1, 0)), IF(AND(H358=1, G359&gt;-Inputs!$B$3), 0, IF(AND(H358=-1, G359&lt;Inputs!$B$3), 0, H358)))</f>
        <v>0</v>
      </c>
      <c r="I359" s="3">
        <f>(((B359/B358)-(C359/C358))*H358)-IF(H359&lt;&gt;H358, Inputs!$B$4, 0)</f>
        <v>0</v>
      </c>
      <c r="J359" s="2">
        <f>J358*(1+I359)</f>
        <v>0</v>
      </c>
      <c r="K359" s="3">
        <f>(B359-B358)/B358</f>
        <v>0</v>
      </c>
      <c r="L359" s="2">
        <f>MAX(J$2:J359)</f>
        <v>0</v>
      </c>
      <c r="M359" s="3">
        <f>(J359-L359)/L359</f>
        <v>0</v>
      </c>
    </row>
    <row r="360" spans="1:13">
      <c r="A360" t="s">
        <v>383</v>
      </c>
      <c r="B360" s="2">
        <v>55.91</v>
      </c>
      <c r="C360" s="2">
        <v>330.3022671</v>
      </c>
      <c r="D360" s="2">
        <f>B360/C360</f>
        <v>0</v>
      </c>
      <c r="E360" s="2">
        <f>(D360*(2/(Inputs!$B$1+1)))+(E359*(1-(2/(Inputs!$B$1+1))))</f>
        <v>0</v>
      </c>
      <c r="F360" s="2">
        <f>STDEV.S(OFFSET(D360, -(MIN(Inputs!$B$1, ROW()-1)-1), 0, MIN(Inputs!$B$1, ROW()-1), 1))</f>
        <v>0</v>
      </c>
      <c r="G360" s="2">
        <f>IF(F360=0, 0, (D360-E360)/F360)</f>
        <v>0</v>
      </c>
      <c r="H360">
        <f>IF(H359=0, IF(G360&gt;Inputs!$B$2, -1, IF(G360&lt;-Inputs!$B$2, 1, 0)), IF(AND(H359=1, G360&gt;-Inputs!$B$3), 0, IF(AND(H359=-1, G360&lt;Inputs!$B$3), 0, H359)))</f>
        <v>0</v>
      </c>
      <c r="I360" s="3">
        <f>(((B360/B359)-(C360/C359))*H359)-IF(H360&lt;&gt;H359, Inputs!$B$4, 0)</f>
        <v>0</v>
      </c>
      <c r="J360" s="2">
        <f>J359*(1+I360)</f>
        <v>0</v>
      </c>
      <c r="K360" s="3">
        <f>(B360-B359)/B359</f>
        <v>0</v>
      </c>
      <c r="L360" s="2">
        <f>MAX(J$2:J360)</f>
        <v>0</v>
      </c>
      <c r="M360" s="3">
        <f>(J360-L360)/L360</f>
        <v>0</v>
      </c>
    </row>
    <row r="361" spans="1:13">
      <c r="A361" t="s">
        <v>384</v>
      </c>
      <c r="B361" s="2">
        <v>54.55</v>
      </c>
      <c r="C361" s="2">
        <v>322.3280326</v>
      </c>
      <c r="D361" s="2">
        <f>B361/C361</f>
        <v>0</v>
      </c>
      <c r="E361" s="2">
        <f>(D361*(2/(Inputs!$B$1+1)))+(E360*(1-(2/(Inputs!$B$1+1))))</f>
        <v>0</v>
      </c>
      <c r="F361" s="2">
        <f>STDEV.S(OFFSET(D361, -(MIN(Inputs!$B$1, ROW()-1)-1), 0, MIN(Inputs!$B$1, ROW()-1), 1))</f>
        <v>0</v>
      </c>
      <c r="G361" s="2">
        <f>IF(F361=0, 0, (D361-E361)/F361)</f>
        <v>0</v>
      </c>
      <c r="H361">
        <f>IF(H360=0, IF(G361&gt;Inputs!$B$2, -1, IF(G361&lt;-Inputs!$B$2, 1, 0)), IF(AND(H360=1, G361&gt;-Inputs!$B$3), 0, IF(AND(H360=-1, G361&lt;Inputs!$B$3), 0, H360)))</f>
        <v>0</v>
      </c>
      <c r="I361" s="3">
        <f>(((B361/B360)-(C361/C360))*H360)-IF(H361&lt;&gt;H360, Inputs!$B$4, 0)</f>
        <v>0</v>
      </c>
      <c r="J361" s="2">
        <f>J360*(1+I361)</f>
        <v>0</v>
      </c>
      <c r="K361" s="3">
        <f>(B361-B360)/B360</f>
        <v>0</v>
      </c>
      <c r="L361" s="2">
        <f>MAX(J$2:J361)</f>
        <v>0</v>
      </c>
      <c r="M361" s="3">
        <f>(J361-L361)/L361</f>
        <v>0</v>
      </c>
    </row>
    <row r="362" spans="1:13">
      <c r="A362" t="s">
        <v>385</v>
      </c>
      <c r="B362" s="2">
        <v>55.65</v>
      </c>
      <c r="C362" s="2">
        <v>327.53775172</v>
      </c>
      <c r="D362" s="2">
        <f>B362/C362</f>
        <v>0</v>
      </c>
      <c r="E362" s="2">
        <f>(D362*(2/(Inputs!$B$1+1)))+(E361*(1-(2/(Inputs!$B$1+1))))</f>
        <v>0</v>
      </c>
      <c r="F362" s="2">
        <f>STDEV.S(OFFSET(D362, -(MIN(Inputs!$B$1, ROW()-1)-1), 0, MIN(Inputs!$B$1, ROW()-1), 1))</f>
        <v>0</v>
      </c>
      <c r="G362" s="2">
        <f>IF(F362=0, 0, (D362-E362)/F362)</f>
        <v>0</v>
      </c>
      <c r="H362">
        <f>IF(H361=0, IF(G362&gt;Inputs!$B$2, -1, IF(G362&lt;-Inputs!$B$2, 1, 0)), IF(AND(H361=1, G362&gt;-Inputs!$B$3), 0, IF(AND(H361=-1, G362&lt;Inputs!$B$3), 0, H361)))</f>
        <v>0</v>
      </c>
      <c r="I362" s="3">
        <f>(((B362/B361)-(C362/C361))*H361)-IF(H362&lt;&gt;H361, Inputs!$B$4, 0)</f>
        <v>0</v>
      </c>
      <c r="J362" s="2">
        <f>J361*(1+I362)</f>
        <v>0</v>
      </c>
      <c r="K362" s="3">
        <f>(B362-B361)/B361</f>
        <v>0</v>
      </c>
      <c r="L362" s="2">
        <f>MAX(J$2:J362)</f>
        <v>0</v>
      </c>
      <c r="M362" s="3">
        <f>(J362-L362)/L362</f>
        <v>0</v>
      </c>
    </row>
    <row r="363" spans="1:13">
      <c r="A363" t="s">
        <v>386</v>
      </c>
      <c r="B363" s="2">
        <v>55.32</v>
      </c>
      <c r="C363" s="2">
        <v>324.503577</v>
      </c>
      <c r="D363" s="2">
        <f>B363/C363</f>
        <v>0</v>
      </c>
      <c r="E363" s="2">
        <f>(D363*(2/(Inputs!$B$1+1)))+(E362*(1-(2/(Inputs!$B$1+1))))</f>
        <v>0</v>
      </c>
      <c r="F363" s="2">
        <f>STDEV.S(OFFSET(D363, -(MIN(Inputs!$B$1, ROW()-1)-1), 0, MIN(Inputs!$B$1, ROW()-1), 1))</f>
        <v>0</v>
      </c>
      <c r="G363" s="2">
        <f>IF(F363=0, 0, (D363-E363)/F363)</f>
        <v>0</v>
      </c>
      <c r="H363">
        <f>IF(H362=0, IF(G363&gt;Inputs!$B$2, -1, IF(G363&lt;-Inputs!$B$2, 1, 0)), IF(AND(H362=1, G363&gt;-Inputs!$B$3), 0, IF(AND(H362=-1, G363&lt;Inputs!$B$3), 0, H362)))</f>
        <v>0</v>
      </c>
      <c r="I363" s="3">
        <f>(((B363/B362)-(C363/C362))*H362)-IF(H363&lt;&gt;H362, Inputs!$B$4, 0)</f>
        <v>0</v>
      </c>
      <c r="J363" s="2">
        <f>J362*(1+I363)</f>
        <v>0</v>
      </c>
      <c r="K363" s="3">
        <f>(B363-B362)/B362</f>
        <v>0</v>
      </c>
      <c r="L363" s="2">
        <f>MAX(J$2:J363)</f>
        <v>0</v>
      </c>
      <c r="M363" s="3">
        <f>(J363-L363)/L363</f>
        <v>0</v>
      </c>
    </row>
    <row r="364" spans="1:13">
      <c r="A364" t="s">
        <v>387</v>
      </c>
      <c r="B364" s="2">
        <v>51.39</v>
      </c>
      <c r="C364" s="2">
        <v>301.599669</v>
      </c>
      <c r="D364" s="2">
        <f>B364/C364</f>
        <v>0</v>
      </c>
      <c r="E364" s="2">
        <f>(D364*(2/(Inputs!$B$1+1)))+(E363*(1-(2/(Inputs!$B$1+1))))</f>
        <v>0</v>
      </c>
      <c r="F364" s="2">
        <f>STDEV.S(OFFSET(D364, -(MIN(Inputs!$B$1, ROW()-1)-1), 0, MIN(Inputs!$B$1, ROW()-1), 1))</f>
        <v>0</v>
      </c>
      <c r="G364" s="2">
        <f>IF(F364=0, 0, (D364-E364)/F364)</f>
        <v>0</v>
      </c>
      <c r="H364">
        <f>IF(H363=0, IF(G364&gt;Inputs!$B$2, -1, IF(G364&lt;-Inputs!$B$2, 1, 0)), IF(AND(H363=1, G364&gt;-Inputs!$B$3), 0, IF(AND(H363=-1, G364&lt;Inputs!$B$3), 0, H363)))</f>
        <v>0</v>
      </c>
      <c r="I364" s="3">
        <f>(((B364/B363)-(C364/C363))*H363)-IF(H364&lt;&gt;H363, Inputs!$B$4, 0)</f>
        <v>0</v>
      </c>
      <c r="J364" s="2">
        <f>J363*(1+I364)</f>
        <v>0</v>
      </c>
      <c r="K364" s="3">
        <f>(B364-B363)/B363</f>
        <v>0</v>
      </c>
      <c r="L364" s="2">
        <f>MAX(J$2:J364)</f>
        <v>0</v>
      </c>
      <c r="M364" s="3">
        <f>(J364-L364)/L364</f>
        <v>0</v>
      </c>
    </row>
    <row r="365" spans="1:13">
      <c r="A365" t="s">
        <v>388</v>
      </c>
      <c r="B365" s="2">
        <v>51.07</v>
      </c>
      <c r="C365" s="2">
        <v>297.4499528000001</v>
      </c>
      <c r="D365" s="2">
        <f>B365/C365</f>
        <v>0</v>
      </c>
      <c r="E365" s="2">
        <f>(D365*(2/(Inputs!$B$1+1)))+(E364*(1-(2/(Inputs!$B$1+1))))</f>
        <v>0</v>
      </c>
      <c r="F365" s="2">
        <f>STDEV.S(OFFSET(D365, -(MIN(Inputs!$B$1, ROW()-1)-1), 0, MIN(Inputs!$B$1, ROW()-1), 1))</f>
        <v>0</v>
      </c>
      <c r="G365" s="2">
        <f>IF(F365=0, 0, (D365-E365)/F365)</f>
        <v>0</v>
      </c>
      <c r="H365">
        <f>IF(H364=0, IF(G365&gt;Inputs!$B$2, -1, IF(G365&lt;-Inputs!$B$2, 1, 0)), IF(AND(H364=1, G365&gt;-Inputs!$B$3), 0, IF(AND(H364=-1, G365&lt;Inputs!$B$3), 0, H364)))</f>
        <v>0</v>
      </c>
      <c r="I365" s="3">
        <f>(((B365/B364)-(C365/C364))*H364)-IF(H365&lt;&gt;H364, Inputs!$B$4, 0)</f>
        <v>0</v>
      </c>
      <c r="J365" s="2">
        <f>J364*(1+I365)</f>
        <v>0</v>
      </c>
      <c r="K365" s="3">
        <f>(B365-B364)/B364</f>
        <v>0</v>
      </c>
      <c r="L365" s="2">
        <f>MAX(J$2:J365)</f>
        <v>0</v>
      </c>
      <c r="M365" s="3">
        <f>(J365-L365)/L365</f>
        <v>0</v>
      </c>
    </row>
    <row r="366" spans="1:13">
      <c r="A366" t="s">
        <v>389</v>
      </c>
      <c r="B366" s="2">
        <v>54.32</v>
      </c>
      <c r="C366" s="2">
        <v>319.6163953</v>
      </c>
      <c r="D366" s="2">
        <f>B366/C366</f>
        <v>0</v>
      </c>
      <c r="E366" s="2">
        <f>(D366*(2/(Inputs!$B$1+1)))+(E365*(1-(2/(Inputs!$B$1+1))))</f>
        <v>0</v>
      </c>
      <c r="F366" s="2">
        <f>STDEV.S(OFFSET(D366, -(MIN(Inputs!$B$1, ROW()-1)-1), 0, MIN(Inputs!$B$1, ROW()-1), 1))</f>
        <v>0</v>
      </c>
      <c r="G366" s="2">
        <f>IF(F366=0, 0, (D366-E366)/F366)</f>
        <v>0</v>
      </c>
      <c r="H366">
        <f>IF(H365=0, IF(G366&gt;Inputs!$B$2, -1, IF(G366&lt;-Inputs!$B$2, 1, 0)), IF(AND(H365=1, G366&gt;-Inputs!$B$3), 0, IF(AND(H365=-1, G366&lt;Inputs!$B$3), 0, H365)))</f>
        <v>0</v>
      </c>
      <c r="I366" s="3">
        <f>(((B366/B365)-(C366/C365))*H365)-IF(H366&lt;&gt;H365, Inputs!$B$4, 0)</f>
        <v>0</v>
      </c>
      <c r="J366" s="2">
        <f>J365*(1+I366)</f>
        <v>0</v>
      </c>
      <c r="K366" s="3">
        <f>(B366-B365)/B365</f>
        <v>0</v>
      </c>
      <c r="L366" s="2">
        <f>MAX(J$2:J366)</f>
        <v>0</v>
      </c>
      <c r="M366" s="3">
        <f>(J366-L366)/L366</f>
        <v>0</v>
      </c>
    </row>
    <row r="367" spans="1:13">
      <c r="A367" t="s">
        <v>390</v>
      </c>
      <c r="B367" s="2">
        <v>53.59</v>
      </c>
      <c r="C367" s="2">
        <v>314.28912996</v>
      </c>
      <c r="D367" s="2">
        <f>B367/C367</f>
        <v>0</v>
      </c>
      <c r="E367" s="2">
        <f>(D367*(2/(Inputs!$B$1+1)))+(E366*(1-(2/(Inputs!$B$1+1))))</f>
        <v>0</v>
      </c>
      <c r="F367" s="2">
        <f>STDEV.S(OFFSET(D367, -(MIN(Inputs!$B$1, ROW()-1)-1), 0, MIN(Inputs!$B$1, ROW()-1), 1))</f>
        <v>0</v>
      </c>
      <c r="G367" s="2">
        <f>IF(F367=0, 0, (D367-E367)/F367)</f>
        <v>0</v>
      </c>
      <c r="H367">
        <f>IF(H366=0, IF(G367&gt;Inputs!$B$2, -1, IF(G367&lt;-Inputs!$B$2, 1, 0)), IF(AND(H366=1, G367&gt;-Inputs!$B$3), 0, IF(AND(H366=-1, G367&lt;Inputs!$B$3), 0, H366)))</f>
        <v>0</v>
      </c>
      <c r="I367" s="3">
        <f>(((B367/B366)-(C367/C366))*H366)-IF(H367&lt;&gt;H366, Inputs!$B$4, 0)</f>
        <v>0</v>
      </c>
      <c r="J367" s="2">
        <f>J366*(1+I367)</f>
        <v>0</v>
      </c>
      <c r="K367" s="3">
        <f>(B367-B366)/B366</f>
        <v>0</v>
      </c>
      <c r="L367" s="2">
        <f>MAX(J$2:J367)</f>
        <v>0</v>
      </c>
      <c r="M367" s="3">
        <f>(J367-L367)/L367</f>
        <v>0</v>
      </c>
    </row>
    <row r="368" spans="1:13">
      <c r="A368" t="s">
        <v>391</v>
      </c>
      <c r="B368" s="2">
        <v>54.47</v>
      </c>
      <c r="C368" s="2">
        <v>319.95096385</v>
      </c>
      <c r="D368" s="2">
        <f>B368/C368</f>
        <v>0</v>
      </c>
      <c r="E368" s="2">
        <f>(D368*(2/(Inputs!$B$1+1)))+(E367*(1-(2/(Inputs!$B$1+1))))</f>
        <v>0</v>
      </c>
      <c r="F368" s="2">
        <f>STDEV.S(OFFSET(D368, -(MIN(Inputs!$B$1, ROW()-1)-1), 0, MIN(Inputs!$B$1, ROW()-1), 1))</f>
        <v>0</v>
      </c>
      <c r="G368" s="2">
        <f>IF(F368=0, 0, (D368-E368)/F368)</f>
        <v>0</v>
      </c>
      <c r="H368">
        <f>IF(H367=0, IF(G368&gt;Inputs!$B$2, -1, IF(G368&lt;-Inputs!$B$2, 1, 0)), IF(AND(H367=1, G368&gt;-Inputs!$B$3), 0, IF(AND(H367=-1, G368&lt;Inputs!$B$3), 0, H367)))</f>
        <v>0</v>
      </c>
      <c r="I368" s="3">
        <f>(((B368/B367)-(C368/C367))*H367)-IF(H368&lt;&gt;H367, Inputs!$B$4, 0)</f>
        <v>0</v>
      </c>
      <c r="J368" s="2">
        <f>J367*(1+I368)</f>
        <v>0</v>
      </c>
      <c r="K368" s="3">
        <f>(B368-B367)/B367</f>
        <v>0</v>
      </c>
      <c r="L368" s="2">
        <f>MAX(J$2:J368)</f>
        <v>0</v>
      </c>
      <c r="M368" s="3">
        <f>(J368-L368)/L368</f>
        <v>0</v>
      </c>
    </row>
    <row r="369" spans="1:13">
      <c r="A369" t="s">
        <v>392</v>
      </c>
      <c r="B369" s="2">
        <v>55.98</v>
      </c>
      <c r="C369" s="2">
        <v>329.8607796000001</v>
      </c>
      <c r="D369" s="2">
        <f>B369/C369</f>
        <v>0</v>
      </c>
      <c r="E369" s="2">
        <f>(D369*(2/(Inputs!$B$1+1)))+(E368*(1-(2/(Inputs!$B$1+1))))</f>
        <v>0</v>
      </c>
      <c r="F369" s="2">
        <f>STDEV.S(OFFSET(D369, -(MIN(Inputs!$B$1, ROW()-1)-1), 0, MIN(Inputs!$B$1, ROW()-1), 1))</f>
        <v>0</v>
      </c>
      <c r="G369" s="2">
        <f>IF(F369=0, 0, (D369-E369)/F369)</f>
        <v>0</v>
      </c>
      <c r="H369">
        <f>IF(H368=0, IF(G369&gt;Inputs!$B$2, -1, IF(G369&lt;-Inputs!$B$2, 1, 0)), IF(AND(H368=1, G369&gt;-Inputs!$B$3), 0, IF(AND(H368=-1, G369&lt;Inputs!$B$3), 0, H368)))</f>
        <v>0</v>
      </c>
      <c r="I369" s="3">
        <f>(((B369/B368)-(C369/C368))*H368)-IF(H369&lt;&gt;H368, Inputs!$B$4, 0)</f>
        <v>0</v>
      </c>
      <c r="J369" s="2">
        <f>J368*(1+I369)</f>
        <v>0</v>
      </c>
      <c r="K369" s="3">
        <f>(B369-B368)/B368</f>
        <v>0</v>
      </c>
      <c r="L369" s="2">
        <f>MAX(J$2:J369)</f>
        <v>0</v>
      </c>
      <c r="M369" s="3">
        <f>(J369-L369)/L369</f>
        <v>0</v>
      </c>
    </row>
    <row r="370" spans="1:13">
      <c r="A370" t="s">
        <v>393</v>
      </c>
      <c r="B370" s="2">
        <v>57.7</v>
      </c>
      <c r="C370" s="2">
        <v>340.5670596</v>
      </c>
      <c r="D370" s="2">
        <f>B370/C370</f>
        <v>0</v>
      </c>
      <c r="E370" s="2">
        <f>(D370*(2/(Inputs!$B$1+1)))+(E369*(1-(2/(Inputs!$B$1+1))))</f>
        <v>0</v>
      </c>
      <c r="F370" s="2">
        <f>STDEV.S(OFFSET(D370, -(MIN(Inputs!$B$1, ROW()-1)-1), 0, MIN(Inputs!$B$1, ROW()-1), 1))</f>
        <v>0</v>
      </c>
      <c r="G370" s="2">
        <f>IF(F370=0, 0, (D370-E370)/F370)</f>
        <v>0</v>
      </c>
      <c r="H370">
        <f>IF(H369=0, IF(G370&gt;Inputs!$B$2, -1, IF(G370&lt;-Inputs!$B$2, 1, 0)), IF(AND(H369=1, G370&gt;-Inputs!$B$3), 0, IF(AND(H369=-1, G370&lt;Inputs!$B$3), 0, H369)))</f>
        <v>0</v>
      </c>
      <c r="I370" s="3">
        <f>(((B370/B369)-(C370/C369))*H369)-IF(H370&lt;&gt;H369, Inputs!$B$4, 0)</f>
        <v>0</v>
      </c>
      <c r="J370" s="2">
        <f>J369*(1+I370)</f>
        <v>0</v>
      </c>
      <c r="K370" s="3">
        <f>(B370-B369)/B369</f>
        <v>0</v>
      </c>
      <c r="L370" s="2">
        <f>MAX(J$2:J370)</f>
        <v>0</v>
      </c>
      <c r="M370" s="3">
        <f>(J370-L370)/L370</f>
        <v>0</v>
      </c>
    </row>
    <row r="371" spans="1:13">
      <c r="A371" t="s">
        <v>394</v>
      </c>
      <c r="B371" s="2">
        <v>56.95</v>
      </c>
      <c r="C371" s="2">
        <v>335.75573904</v>
      </c>
      <c r="D371" s="2">
        <f>B371/C371</f>
        <v>0</v>
      </c>
      <c r="E371" s="2">
        <f>(D371*(2/(Inputs!$B$1+1)))+(E370*(1-(2/(Inputs!$B$1+1))))</f>
        <v>0</v>
      </c>
      <c r="F371" s="2">
        <f>STDEV.S(OFFSET(D371, -(MIN(Inputs!$B$1, ROW()-1)-1), 0, MIN(Inputs!$B$1, ROW()-1), 1))</f>
        <v>0</v>
      </c>
      <c r="G371" s="2">
        <f>IF(F371=0, 0, (D371-E371)/F371)</f>
        <v>0</v>
      </c>
      <c r="H371">
        <f>IF(H370=0, IF(G371&gt;Inputs!$B$2, -1, IF(G371&lt;-Inputs!$B$2, 1, 0)), IF(AND(H370=1, G371&gt;-Inputs!$B$3), 0, IF(AND(H370=-1, G371&lt;Inputs!$B$3), 0, H370)))</f>
        <v>0</v>
      </c>
      <c r="I371" s="3">
        <f>(((B371/B370)-(C371/C370))*H370)-IF(H371&lt;&gt;H370, Inputs!$B$4, 0)</f>
        <v>0</v>
      </c>
      <c r="J371" s="2">
        <f>J370*(1+I371)</f>
        <v>0</v>
      </c>
      <c r="K371" s="3">
        <f>(B371-B370)/B370</f>
        <v>0</v>
      </c>
      <c r="L371" s="2">
        <f>MAX(J$2:J371)</f>
        <v>0</v>
      </c>
      <c r="M371" s="3">
        <f>(J371-L371)/L371</f>
        <v>0</v>
      </c>
    </row>
    <row r="372" spans="1:13">
      <c r="A372" t="s">
        <v>395</v>
      </c>
      <c r="B372" s="2">
        <v>55.015</v>
      </c>
      <c r="C372" s="2">
        <v>323.687685</v>
      </c>
      <c r="D372" s="2">
        <f>B372/C372</f>
        <v>0</v>
      </c>
      <c r="E372" s="2">
        <f>(D372*(2/(Inputs!$B$1+1)))+(E371*(1-(2/(Inputs!$B$1+1))))</f>
        <v>0</v>
      </c>
      <c r="F372" s="2">
        <f>STDEV.S(OFFSET(D372, -(MIN(Inputs!$B$1, ROW()-1)-1), 0, MIN(Inputs!$B$1, ROW()-1), 1))</f>
        <v>0</v>
      </c>
      <c r="G372" s="2">
        <f>IF(F372=0, 0, (D372-E372)/F372)</f>
        <v>0</v>
      </c>
      <c r="H372">
        <f>IF(H371=0, IF(G372&gt;Inputs!$B$2, -1, IF(G372&lt;-Inputs!$B$2, 1, 0)), IF(AND(H371=1, G372&gt;-Inputs!$B$3), 0, IF(AND(H371=-1, G372&lt;Inputs!$B$3), 0, H371)))</f>
        <v>0</v>
      </c>
      <c r="I372" s="3">
        <f>(((B372/B371)-(C372/C371))*H371)-IF(H372&lt;&gt;H371, Inputs!$B$4, 0)</f>
        <v>0</v>
      </c>
      <c r="J372" s="2">
        <f>J371*(1+I372)</f>
        <v>0</v>
      </c>
      <c r="K372" s="3">
        <f>(B372-B371)/B371</f>
        <v>0</v>
      </c>
      <c r="L372" s="2">
        <f>MAX(J$2:J372)</f>
        <v>0</v>
      </c>
      <c r="M372" s="3">
        <f>(J372-L372)/L372</f>
        <v>0</v>
      </c>
    </row>
    <row r="373" spans="1:13">
      <c r="A373" t="s">
        <v>396</v>
      </c>
      <c r="B373" s="2">
        <v>53.16</v>
      </c>
      <c r="C373" s="2">
        <v>312.7194919</v>
      </c>
      <c r="D373" s="2">
        <f>B373/C373</f>
        <v>0</v>
      </c>
      <c r="E373" s="2">
        <f>(D373*(2/(Inputs!$B$1+1)))+(E372*(1-(2/(Inputs!$B$1+1))))</f>
        <v>0</v>
      </c>
      <c r="F373" s="2">
        <f>STDEV.S(OFFSET(D373, -(MIN(Inputs!$B$1, ROW()-1)-1), 0, MIN(Inputs!$B$1, ROW()-1), 1))</f>
        <v>0</v>
      </c>
      <c r="G373" s="2">
        <f>IF(F373=0, 0, (D373-E373)/F373)</f>
        <v>0</v>
      </c>
      <c r="H373">
        <f>IF(H372=0, IF(G373&gt;Inputs!$B$2, -1, IF(G373&lt;-Inputs!$B$2, 1, 0)), IF(AND(H372=1, G373&gt;-Inputs!$B$3), 0, IF(AND(H372=-1, G373&lt;Inputs!$B$3), 0, H372)))</f>
        <v>0</v>
      </c>
      <c r="I373" s="3">
        <f>(((B373/B372)-(C373/C372))*H372)-IF(H373&lt;&gt;H372, Inputs!$B$4, 0)</f>
        <v>0</v>
      </c>
      <c r="J373" s="2">
        <f>J372*(1+I373)</f>
        <v>0</v>
      </c>
      <c r="K373" s="3">
        <f>(B373-B372)/B372</f>
        <v>0</v>
      </c>
      <c r="L373" s="2">
        <f>MAX(J$2:J373)</f>
        <v>0</v>
      </c>
      <c r="M373" s="3">
        <f>(J373-L373)/L373</f>
        <v>0</v>
      </c>
    </row>
    <row r="374" spans="1:13">
      <c r="A374" t="s">
        <v>397</v>
      </c>
      <c r="B374" s="2">
        <v>55.64</v>
      </c>
      <c r="C374" s="2">
        <v>328.30455777</v>
      </c>
      <c r="D374" s="2">
        <f>B374/C374</f>
        <v>0</v>
      </c>
      <c r="E374" s="2">
        <f>(D374*(2/(Inputs!$B$1+1)))+(E373*(1-(2/(Inputs!$B$1+1))))</f>
        <v>0</v>
      </c>
      <c r="F374" s="2">
        <f>STDEV.S(OFFSET(D374, -(MIN(Inputs!$B$1, ROW()-1)-1), 0, MIN(Inputs!$B$1, ROW()-1), 1))</f>
        <v>0</v>
      </c>
      <c r="G374" s="2">
        <f>IF(F374=0, 0, (D374-E374)/F374)</f>
        <v>0</v>
      </c>
      <c r="H374">
        <f>IF(H373=0, IF(G374&gt;Inputs!$B$2, -1, IF(G374&lt;-Inputs!$B$2, 1, 0)), IF(AND(H373=1, G374&gt;-Inputs!$B$3), 0, IF(AND(H373=-1, G374&lt;Inputs!$B$3), 0, H373)))</f>
        <v>0</v>
      </c>
      <c r="I374" s="3">
        <f>(((B374/B373)-(C374/C373))*H373)-IF(H374&lt;&gt;H373, Inputs!$B$4, 0)</f>
        <v>0</v>
      </c>
      <c r="J374" s="2">
        <f>J373*(1+I374)</f>
        <v>0</v>
      </c>
      <c r="K374" s="3">
        <f>(B374-B373)/B373</f>
        <v>0</v>
      </c>
      <c r="L374" s="2">
        <f>MAX(J$2:J374)</f>
        <v>0</v>
      </c>
      <c r="M374" s="3">
        <f>(J374-L374)/L374</f>
        <v>0</v>
      </c>
    </row>
    <row r="375" spans="1:13">
      <c r="A375" t="s">
        <v>398</v>
      </c>
      <c r="B375" s="2">
        <v>52.14</v>
      </c>
      <c r="C375" s="2">
        <v>305.71333956</v>
      </c>
      <c r="D375" s="2">
        <f>B375/C375</f>
        <v>0</v>
      </c>
      <c r="E375" s="2">
        <f>(D375*(2/(Inputs!$B$1+1)))+(E374*(1-(2/(Inputs!$B$1+1))))</f>
        <v>0</v>
      </c>
      <c r="F375" s="2">
        <f>STDEV.S(OFFSET(D375, -(MIN(Inputs!$B$1, ROW()-1)-1), 0, MIN(Inputs!$B$1, ROW()-1), 1))</f>
        <v>0</v>
      </c>
      <c r="G375" s="2">
        <f>IF(F375=0, 0, (D375-E375)/F375)</f>
        <v>0</v>
      </c>
      <c r="H375">
        <f>IF(H374=0, IF(G375&gt;Inputs!$B$2, -1, IF(G375&lt;-Inputs!$B$2, 1, 0)), IF(AND(H374=1, G375&gt;-Inputs!$B$3), 0, IF(AND(H374=-1, G375&lt;Inputs!$B$3), 0, H374)))</f>
        <v>0</v>
      </c>
      <c r="I375" s="3">
        <f>(((B375/B374)-(C375/C374))*H374)-IF(H375&lt;&gt;H374, Inputs!$B$4, 0)</f>
        <v>0</v>
      </c>
      <c r="J375" s="2">
        <f>J374*(1+I375)</f>
        <v>0</v>
      </c>
      <c r="K375" s="3">
        <f>(B375-B374)/B374</f>
        <v>0</v>
      </c>
      <c r="L375" s="2">
        <f>MAX(J$2:J375)</f>
        <v>0</v>
      </c>
      <c r="M375" s="3">
        <f>(J375-L375)/L375</f>
        <v>0</v>
      </c>
    </row>
    <row r="376" spans="1:13">
      <c r="A376" t="s">
        <v>399</v>
      </c>
      <c r="B376" s="2">
        <v>48.39</v>
      </c>
      <c r="C376" s="2">
        <v>283.93695</v>
      </c>
      <c r="D376" s="2">
        <f>B376/C376</f>
        <v>0</v>
      </c>
      <c r="E376" s="2">
        <f>(D376*(2/(Inputs!$B$1+1)))+(E375*(1-(2/(Inputs!$B$1+1))))</f>
        <v>0</v>
      </c>
      <c r="F376" s="2">
        <f>STDEV.S(OFFSET(D376, -(MIN(Inputs!$B$1, ROW()-1)-1), 0, MIN(Inputs!$B$1, ROW()-1), 1))</f>
        <v>0</v>
      </c>
      <c r="G376" s="2">
        <f>IF(F376=0, 0, (D376-E376)/F376)</f>
        <v>0</v>
      </c>
      <c r="H376">
        <f>IF(H375=0, IF(G376&gt;Inputs!$B$2, -1, IF(G376&lt;-Inputs!$B$2, 1, 0)), IF(AND(H375=1, G376&gt;-Inputs!$B$3), 0, IF(AND(H375=-1, G376&lt;Inputs!$B$3), 0, H375)))</f>
        <v>0</v>
      </c>
      <c r="I376" s="3">
        <f>(((B376/B375)-(C376/C375))*H375)-IF(H376&lt;&gt;H375, Inputs!$B$4, 0)</f>
        <v>0</v>
      </c>
      <c r="J376" s="2">
        <f>J375*(1+I376)</f>
        <v>0</v>
      </c>
      <c r="K376" s="3">
        <f>(B376-B375)/B375</f>
        <v>0</v>
      </c>
      <c r="L376" s="2">
        <f>MAX(J$2:J376)</f>
        <v>0</v>
      </c>
      <c r="M376" s="3">
        <f>(J376-L376)/L376</f>
        <v>0</v>
      </c>
    </row>
    <row r="377" spans="1:13">
      <c r="A377" t="s">
        <v>400</v>
      </c>
      <c r="B377" s="2">
        <v>48.34</v>
      </c>
      <c r="C377" s="2">
        <v>285.45584496</v>
      </c>
      <c r="D377" s="2">
        <f>B377/C377</f>
        <v>0</v>
      </c>
      <c r="E377" s="2">
        <f>(D377*(2/(Inputs!$B$1+1)))+(E376*(1-(2/(Inputs!$B$1+1))))</f>
        <v>0</v>
      </c>
      <c r="F377" s="2">
        <f>STDEV.S(OFFSET(D377, -(MIN(Inputs!$B$1, ROW()-1)-1), 0, MIN(Inputs!$B$1, ROW()-1), 1))</f>
        <v>0</v>
      </c>
      <c r="G377" s="2">
        <f>IF(F377=0, 0, (D377-E377)/F377)</f>
        <v>0</v>
      </c>
      <c r="H377">
        <f>IF(H376=0, IF(G377&gt;Inputs!$B$2, -1, IF(G377&lt;-Inputs!$B$2, 1, 0)), IF(AND(H376=1, G377&gt;-Inputs!$B$3), 0, IF(AND(H376=-1, G377&lt;Inputs!$B$3), 0, H376)))</f>
        <v>0</v>
      </c>
      <c r="I377" s="3">
        <f>(((B377/B376)-(C377/C376))*H376)-IF(H377&lt;&gt;H376, Inputs!$B$4, 0)</f>
        <v>0</v>
      </c>
      <c r="J377" s="2">
        <f>J376*(1+I377)</f>
        <v>0</v>
      </c>
      <c r="K377" s="3">
        <f>(B377-B376)/B376</f>
        <v>0</v>
      </c>
      <c r="L377" s="2">
        <f>MAX(J$2:J377)</f>
        <v>0</v>
      </c>
      <c r="M377" s="3">
        <f>(J377-L377)/L377</f>
        <v>0</v>
      </c>
    </row>
    <row r="378" spans="1:13">
      <c r="A378" t="s">
        <v>401</v>
      </c>
      <c r="B378" s="2">
        <v>50.06</v>
      </c>
      <c r="C378" s="2">
        <v>295.37647488</v>
      </c>
      <c r="D378" s="2">
        <f>B378/C378</f>
        <v>0</v>
      </c>
      <c r="E378" s="2">
        <f>(D378*(2/(Inputs!$B$1+1)))+(E377*(1-(2/(Inputs!$B$1+1))))</f>
        <v>0</v>
      </c>
      <c r="F378" s="2">
        <f>STDEV.S(OFFSET(D378, -(MIN(Inputs!$B$1, ROW()-1)-1), 0, MIN(Inputs!$B$1, ROW()-1), 1))</f>
        <v>0</v>
      </c>
      <c r="G378" s="2">
        <f>IF(F378=0, 0, (D378-E378)/F378)</f>
        <v>0</v>
      </c>
      <c r="H378">
        <f>IF(H377=0, IF(G378&gt;Inputs!$B$2, -1, IF(G378&lt;-Inputs!$B$2, 1, 0)), IF(AND(H377=1, G378&gt;-Inputs!$B$3), 0, IF(AND(H377=-1, G378&lt;Inputs!$B$3), 0, H377)))</f>
        <v>0</v>
      </c>
      <c r="I378" s="3">
        <f>(((B378/B377)-(C378/C377))*H377)-IF(H378&lt;&gt;H377, Inputs!$B$4, 0)</f>
        <v>0</v>
      </c>
      <c r="J378" s="2">
        <f>J377*(1+I378)</f>
        <v>0</v>
      </c>
      <c r="K378" s="3">
        <f>(B378-B377)/B377</f>
        <v>0</v>
      </c>
      <c r="L378" s="2">
        <f>MAX(J$2:J378)</f>
        <v>0</v>
      </c>
      <c r="M378" s="3">
        <f>(J378-L378)/L378</f>
        <v>0</v>
      </c>
    </row>
    <row r="379" spans="1:13">
      <c r="A379" t="s">
        <v>402</v>
      </c>
      <c r="B379" s="2">
        <v>51.97</v>
      </c>
      <c r="C379" s="2">
        <v>305.64183474</v>
      </c>
      <c r="D379" s="2">
        <f>B379/C379</f>
        <v>0</v>
      </c>
      <c r="E379" s="2">
        <f>(D379*(2/(Inputs!$B$1+1)))+(E378*(1-(2/(Inputs!$B$1+1))))</f>
        <v>0</v>
      </c>
      <c r="F379" s="2">
        <f>STDEV.S(OFFSET(D379, -(MIN(Inputs!$B$1, ROW()-1)-1), 0, MIN(Inputs!$B$1, ROW()-1), 1))</f>
        <v>0</v>
      </c>
      <c r="G379" s="2">
        <f>IF(F379=0, 0, (D379-E379)/F379)</f>
        <v>0</v>
      </c>
      <c r="H379">
        <f>IF(H378=0, IF(G379&gt;Inputs!$B$2, -1, IF(G379&lt;-Inputs!$B$2, 1, 0)), IF(AND(H378=1, G379&gt;-Inputs!$B$3), 0, IF(AND(H378=-1, G379&lt;Inputs!$B$3), 0, H378)))</f>
        <v>0</v>
      </c>
      <c r="I379" s="3">
        <f>(((B379/B378)-(C379/C378))*H378)-IF(H379&lt;&gt;H378, Inputs!$B$4, 0)</f>
        <v>0</v>
      </c>
      <c r="J379" s="2">
        <f>J378*(1+I379)</f>
        <v>0</v>
      </c>
      <c r="K379" s="3">
        <f>(B379-B378)/B378</f>
        <v>0</v>
      </c>
      <c r="L379" s="2">
        <f>MAX(J$2:J379)</f>
        <v>0</v>
      </c>
      <c r="M379" s="3">
        <f>(J379-L379)/L379</f>
        <v>0</v>
      </c>
    </row>
    <row r="380" spans="1:13">
      <c r="A380" t="s">
        <v>403</v>
      </c>
      <c r="B380" s="2">
        <v>52.22</v>
      </c>
      <c r="C380" s="2">
        <v>307.38249432</v>
      </c>
      <c r="D380" s="2">
        <f>B380/C380</f>
        <v>0</v>
      </c>
      <c r="E380" s="2">
        <f>(D380*(2/(Inputs!$B$1+1)))+(E379*(1-(2/(Inputs!$B$1+1))))</f>
        <v>0</v>
      </c>
      <c r="F380" s="2">
        <f>STDEV.S(OFFSET(D380, -(MIN(Inputs!$B$1, ROW()-1)-1), 0, MIN(Inputs!$B$1, ROW()-1), 1))</f>
        <v>0</v>
      </c>
      <c r="G380" s="2">
        <f>IF(F380=0, 0, (D380-E380)/F380)</f>
        <v>0</v>
      </c>
      <c r="H380">
        <f>IF(H379=0, IF(G380&gt;Inputs!$B$2, -1, IF(G380&lt;-Inputs!$B$2, 1, 0)), IF(AND(H379=1, G380&gt;-Inputs!$B$3), 0, IF(AND(H379=-1, G380&lt;Inputs!$B$3), 0, H379)))</f>
        <v>0</v>
      </c>
      <c r="I380" s="3">
        <f>(((B380/B379)-(C380/C379))*H379)-IF(H380&lt;&gt;H379, Inputs!$B$4, 0)</f>
        <v>0</v>
      </c>
      <c r="J380" s="2">
        <f>J379*(1+I380)</f>
        <v>0</v>
      </c>
      <c r="K380" s="3">
        <f>(B380-B379)/B379</f>
        <v>0</v>
      </c>
      <c r="L380" s="2">
        <f>MAX(J$2:J380)</f>
        <v>0</v>
      </c>
      <c r="M380" s="3">
        <f>(J380-L380)/L380</f>
        <v>0</v>
      </c>
    </row>
    <row r="381" spans="1:13">
      <c r="A381" t="s">
        <v>404</v>
      </c>
      <c r="B381" s="2">
        <v>51.8</v>
      </c>
      <c r="C381" s="2">
        <v>305.7440047</v>
      </c>
      <c r="D381" s="2">
        <f>B381/C381</f>
        <v>0</v>
      </c>
      <c r="E381" s="2">
        <f>(D381*(2/(Inputs!$B$1+1)))+(E380*(1-(2/(Inputs!$B$1+1))))</f>
        <v>0</v>
      </c>
      <c r="F381" s="2">
        <f>STDEV.S(OFFSET(D381, -(MIN(Inputs!$B$1, ROW()-1)-1), 0, MIN(Inputs!$B$1, ROW()-1), 1))</f>
        <v>0</v>
      </c>
      <c r="G381" s="2">
        <f>IF(F381=0, 0, (D381-E381)/F381)</f>
        <v>0</v>
      </c>
      <c r="H381">
        <f>IF(H380=0, IF(G381&gt;Inputs!$B$2, -1, IF(G381&lt;-Inputs!$B$2, 1, 0)), IF(AND(H380=1, G381&gt;-Inputs!$B$3), 0, IF(AND(H380=-1, G381&lt;Inputs!$B$3), 0, H380)))</f>
        <v>0</v>
      </c>
      <c r="I381" s="3">
        <f>(((B381/B380)-(C381/C380))*H380)-IF(H381&lt;&gt;H380, Inputs!$B$4, 0)</f>
        <v>0</v>
      </c>
      <c r="J381" s="2">
        <f>J380*(1+I381)</f>
        <v>0</v>
      </c>
      <c r="K381" s="3">
        <f>(B381-B380)/B380</f>
        <v>0</v>
      </c>
      <c r="L381" s="2">
        <f>MAX(J$2:J381)</f>
        <v>0</v>
      </c>
      <c r="M381" s="3">
        <f>(J381-L381)/L381</f>
        <v>0</v>
      </c>
    </row>
    <row r="382" spans="1:13">
      <c r="A382" t="s">
        <v>405</v>
      </c>
      <c r="B382" s="2">
        <v>48.15</v>
      </c>
      <c r="C382" s="2">
        <v>285.81133065</v>
      </c>
      <c r="D382" s="2">
        <f>B382/C382</f>
        <v>0</v>
      </c>
      <c r="E382" s="2">
        <f>(D382*(2/(Inputs!$B$1+1)))+(E381*(1-(2/(Inputs!$B$1+1))))</f>
        <v>0</v>
      </c>
      <c r="F382" s="2">
        <f>STDEV.S(OFFSET(D382, -(MIN(Inputs!$B$1, ROW()-1)-1), 0, MIN(Inputs!$B$1, ROW()-1), 1))</f>
        <v>0</v>
      </c>
      <c r="G382" s="2">
        <f>IF(F382=0, 0, (D382-E382)/F382)</f>
        <v>0</v>
      </c>
      <c r="H382">
        <f>IF(H381=0, IF(G382&gt;Inputs!$B$2, -1, IF(G382&lt;-Inputs!$B$2, 1, 0)), IF(AND(H381=1, G382&gt;-Inputs!$B$3), 0, IF(AND(H381=-1, G382&lt;Inputs!$B$3), 0, H381)))</f>
        <v>0</v>
      </c>
      <c r="I382" s="3">
        <f>(((B382/B381)-(C382/C381))*H381)-IF(H382&lt;&gt;H381, Inputs!$B$4, 0)</f>
        <v>0</v>
      </c>
      <c r="J382" s="2">
        <f>J381*(1+I382)</f>
        <v>0</v>
      </c>
      <c r="K382" s="3">
        <f>(B382-B381)/B381</f>
        <v>0</v>
      </c>
      <c r="L382" s="2">
        <f>MAX(J$2:J382)</f>
        <v>0</v>
      </c>
      <c r="M382" s="3">
        <f>(J382-L382)/L382</f>
        <v>0</v>
      </c>
    </row>
    <row r="383" spans="1:13">
      <c r="A383" t="s">
        <v>406</v>
      </c>
      <c r="B383" s="2">
        <v>47.64</v>
      </c>
      <c r="C383" s="2">
        <v>278.76897565</v>
      </c>
      <c r="D383" s="2">
        <f>B383/C383</f>
        <v>0</v>
      </c>
      <c r="E383" s="2">
        <f>(D383*(2/(Inputs!$B$1+1)))+(E382*(1-(2/(Inputs!$B$1+1))))</f>
        <v>0</v>
      </c>
      <c r="F383" s="2">
        <f>STDEV.S(OFFSET(D383, -(MIN(Inputs!$B$1, ROW()-1)-1), 0, MIN(Inputs!$B$1, ROW()-1), 1))</f>
        <v>0</v>
      </c>
      <c r="G383" s="2">
        <f>IF(F383=0, 0, (D383-E383)/F383)</f>
        <v>0</v>
      </c>
      <c r="H383">
        <f>IF(H382=0, IF(G383&gt;Inputs!$B$2, -1, IF(G383&lt;-Inputs!$B$2, 1, 0)), IF(AND(H382=1, G383&gt;-Inputs!$B$3), 0, IF(AND(H382=-1, G383&lt;Inputs!$B$3), 0, H382)))</f>
        <v>0</v>
      </c>
      <c r="I383" s="3">
        <f>(((B383/B382)-(C383/C382))*H382)-IF(H383&lt;&gt;H382, Inputs!$B$4, 0)</f>
        <v>0</v>
      </c>
      <c r="J383" s="2">
        <f>J382*(1+I383)</f>
        <v>0</v>
      </c>
      <c r="K383" s="3">
        <f>(B383-B382)/B382</f>
        <v>0</v>
      </c>
      <c r="L383" s="2">
        <f>MAX(J$2:J383)</f>
        <v>0</v>
      </c>
      <c r="M383" s="3">
        <f>(J383-L383)/L383</f>
        <v>0</v>
      </c>
    </row>
    <row r="384" spans="1:13">
      <c r="A384" t="s">
        <v>407</v>
      </c>
      <c r="B384" s="2">
        <v>48.53</v>
      </c>
      <c r="C384" s="2">
        <v>285.4079767800001</v>
      </c>
      <c r="D384" s="2">
        <f>B384/C384</f>
        <v>0</v>
      </c>
      <c r="E384" s="2">
        <f>(D384*(2/(Inputs!$B$1+1)))+(E383*(1-(2/(Inputs!$B$1+1))))</f>
        <v>0</v>
      </c>
      <c r="F384" s="2">
        <f>STDEV.S(OFFSET(D384, -(MIN(Inputs!$B$1, ROW()-1)-1), 0, MIN(Inputs!$B$1, ROW()-1), 1))</f>
        <v>0</v>
      </c>
      <c r="G384" s="2">
        <f>IF(F384=0, 0, (D384-E384)/F384)</f>
        <v>0</v>
      </c>
      <c r="H384">
        <f>IF(H383=0, IF(G384&gt;Inputs!$B$2, -1, IF(G384&lt;-Inputs!$B$2, 1, 0)), IF(AND(H383=1, G384&gt;-Inputs!$B$3), 0, IF(AND(H383=-1, G384&lt;Inputs!$B$3), 0, H383)))</f>
        <v>0</v>
      </c>
      <c r="I384" s="3">
        <f>(((B384/B383)-(C384/C383))*H383)-IF(H384&lt;&gt;H383, Inputs!$B$4, 0)</f>
        <v>0</v>
      </c>
      <c r="J384" s="2">
        <f>J383*(1+I384)</f>
        <v>0</v>
      </c>
      <c r="K384" s="3">
        <f>(B384-B383)/B383</f>
        <v>0</v>
      </c>
      <c r="L384" s="2">
        <f>MAX(J$2:J384)</f>
        <v>0</v>
      </c>
      <c r="M384" s="3">
        <f>(J384-L384)/L384</f>
        <v>0</v>
      </c>
    </row>
    <row r="385" spans="1:13">
      <c r="A385" t="s">
        <v>408</v>
      </c>
      <c r="B385" s="2">
        <v>48.67</v>
      </c>
      <c r="C385" s="2">
        <v>286.73093757</v>
      </c>
      <c r="D385" s="2">
        <f>B385/C385</f>
        <v>0</v>
      </c>
      <c r="E385" s="2">
        <f>(D385*(2/(Inputs!$B$1+1)))+(E384*(1-(2/(Inputs!$B$1+1))))</f>
        <v>0</v>
      </c>
      <c r="F385" s="2">
        <f>STDEV.S(OFFSET(D385, -(MIN(Inputs!$B$1, ROW()-1)-1), 0, MIN(Inputs!$B$1, ROW()-1), 1))</f>
        <v>0</v>
      </c>
      <c r="G385" s="2">
        <f>IF(F385=0, 0, (D385-E385)/F385)</f>
        <v>0</v>
      </c>
      <c r="H385">
        <f>IF(H384=0, IF(G385&gt;Inputs!$B$2, -1, IF(G385&lt;-Inputs!$B$2, 1, 0)), IF(AND(H384=1, G385&gt;-Inputs!$B$3), 0, IF(AND(H384=-1, G385&lt;Inputs!$B$3), 0, H384)))</f>
        <v>0</v>
      </c>
      <c r="I385" s="3">
        <f>(((B385/B384)-(C385/C384))*H384)-IF(H385&lt;&gt;H384, Inputs!$B$4, 0)</f>
        <v>0</v>
      </c>
      <c r="J385" s="2">
        <f>J384*(1+I385)</f>
        <v>0</v>
      </c>
      <c r="K385" s="3">
        <f>(B385-B384)/B384</f>
        <v>0</v>
      </c>
      <c r="L385" s="2">
        <f>MAX(J$2:J385)</f>
        <v>0</v>
      </c>
      <c r="M385" s="3">
        <f>(J385-L385)/L385</f>
        <v>0</v>
      </c>
    </row>
    <row r="386" spans="1:13">
      <c r="A386" t="s">
        <v>409</v>
      </c>
      <c r="B386" s="2">
        <v>47.96</v>
      </c>
      <c r="C386" s="2">
        <v>283.7691774</v>
      </c>
      <c r="D386" s="2">
        <f>B386/C386</f>
        <v>0</v>
      </c>
      <c r="E386" s="2">
        <f>(D386*(2/(Inputs!$B$1+1)))+(E385*(1-(2/(Inputs!$B$1+1))))</f>
        <v>0</v>
      </c>
      <c r="F386" s="2">
        <f>STDEV.S(OFFSET(D386, -(MIN(Inputs!$B$1, ROW()-1)-1), 0, MIN(Inputs!$B$1, ROW()-1), 1))</f>
        <v>0</v>
      </c>
      <c r="G386" s="2">
        <f>IF(F386=0, 0, (D386-E386)/F386)</f>
        <v>0</v>
      </c>
      <c r="H386">
        <f>IF(H385=0, IF(G386&gt;Inputs!$B$2, -1, IF(G386&lt;-Inputs!$B$2, 1, 0)), IF(AND(H385=1, G386&gt;-Inputs!$B$3), 0, IF(AND(H385=-1, G386&lt;Inputs!$B$3), 0, H385)))</f>
        <v>0</v>
      </c>
      <c r="I386" s="3">
        <f>(((B386/B385)-(C386/C385))*H385)-IF(H386&lt;&gt;H385, Inputs!$B$4, 0)</f>
        <v>0</v>
      </c>
      <c r="J386" s="2">
        <f>J385*(1+I386)</f>
        <v>0</v>
      </c>
      <c r="K386" s="3">
        <f>(B386-B385)/B385</f>
        <v>0</v>
      </c>
      <c r="L386" s="2">
        <f>MAX(J$2:J386)</f>
        <v>0</v>
      </c>
      <c r="M386" s="3">
        <f>(J386-L386)/L386</f>
        <v>0</v>
      </c>
    </row>
    <row r="387" spans="1:13">
      <c r="A387" t="s">
        <v>410</v>
      </c>
      <c r="B387" s="2">
        <v>49.53</v>
      </c>
      <c r="C387" s="2">
        <v>289.31901144</v>
      </c>
      <c r="D387" s="2">
        <f>B387/C387</f>
        <v>0</v>
      </c>
      <c r="E387" s="2">
        <f>(D387*(2/(Inputs!$B$1+1)))+(E386*(1-(2/(Inputs!$B$1+1))))</f>
        <v>0</v>
      </c>
      <c r="F387" s="2">
        <f>STDEV.S(OFFSET(D387, -(MIN(Inputs!$B$1, ROW()-1)-1), 0, MIN(Inputs!$B$1, ROW()-1), 1))</f>
        <v>0</v>
      </c>
      <c r="G387" s="2">
        <f>IF(F387=0, 0, (D387-E387)/F387)</f>
        <v>0</v>
      </c>
      <c r="H387">
        <f>IF(H386=0, IF(G387&gt;Inputs!$B$2, -1, IF(G387&lt;-Inputs!$B$2, 1, 0)), IF(AND(H386=1, G387&gt;-Inputs!$B$3), 0, IF(AND(H386=-1, G387&lt;Inputs!$B$3), 0, H386)))</f>
        <v>0</v>
      </c>
      <c r="I387" s="3">
        <f>(((B387/B386)-(C387/C386))*H386)-IF(H387&lt;&gt;H386, Inputs!$B$4, 0)</f>
        <v>0</v>
      </c>
      <c r="J387" s="2">
        <f>J386*(1+I387)</f>
        <v>0</v>
      </c>
      <c r="K387" s="3">
        <f>(B387-B386)/B386</f>
        <v>0</v>
      </c>
      <c r="L387" s="2">
        <f>MAX(J$2:J387)</f>
        <v>0</v>
      </c>
      <c r="M387" s="3">
        <f>(J387-L387)/L387</f>
        <v>0</v>
      </c>
    </row>
    <row r="388" spans="1:13">
      <c r="A388" t="s">
        <v>411</v>
      </c>
      <c r="B388" s="2">
        <v>48.45</v>
      </c>
      <c r="C388" s="2">
        <v>287.20473915</v>
      </c>
      <c r="D388" s="2">
        <f>B388/C388</f>
        <v>0</v>
      </c>
      <c r="E388" s="2">
        <f>(D388*(2/(Inputs!$B$1+1)))+(E387*(1-(2/(Inputs!$B$1+1))))</f>
        <v>0</v>
      </c>
      <c r="F388" s="2">
        <f>STDEV.S(OFFSET(D388, -(MIN(Inputs!$B$1, ROW()-1)-1), 0, MIN(Inputs!$B$1, ROW()-1), 1))</f>
        <v>0</v>
      </c>
      <c r="G388" s="2">
        <f>IF(F388=0, 0, (D388-E388)/F388)</f>
        <v>0</v>
      </c>
      <c r="H388">
        <f>IF(H387=0, IF(G388&gt;Inputs!$B$2, -1, IF(G388&lt;-Inputs!$B$2, 1, 0)), IF(AND(H387=1, G388&gt;-Inputs!$B$3), 0, IF(AND(H387=-1, G388&lt;Inputs!$B$3), 0, H387)))</f>
        <v>0</v>
      </c>
      <c r="I388" s="3">
        <f>(((B388/B387)-(C388/C387))*H387)-IF(H388&lt;&gt;H387, Inputs!$B$4, 0)</f>
        <v>0</v>
      </c>
      <c r="J388" s="2">
        <f>J387*(1+I388)</f>
        <v>0</v>
      </c>
      <c r="K388" s="3">
        <f>(B388-B387)/B387</f>
        <v>0</v>
      </c>
      <c r="L388" s="2">
        <f>MAX(J$2:J388)</f>
        <v>0</v>
      </c>
      <c r="M388" s="3">
        <f>(J388-L388)/L388</f>
        <v>0</v>
      </c>
    </row>
    <row r="389" spans="1:13">
      <c r="A389" t="s">
        <v>412</v>
      </c>
      <c r="B389" s="2">
        <v>50.55</v>
      </c>
      <c r="C389" s="2">
        <v>296.6686045399999</v>
      </c>
      <c r="D389" s="2">
        <f>B389/C389</f>
        <v>0</v>
      </c>
      <c r="E389" s="2">
        <f>(D389*(2/(Inputs!$B$1+1)))+(E388*(1-(2/(Inputs!$B$1+1))))</f>
        <v>0</v>
      </c>
      <c r="F389" s="2">
        <f>STDEV.S(OFFSET(D389, -(MIN(Inputs!$B$1, ROW()-1)-1), 0, MIN(Inputs!$B$1, ROW()-1), 1))</f>
        <v>0</v>
      </c>
      <c r="G389" s="2">
        <f>IF(F389=0, 0, (D389-E389)/F389)</f>
        <v>0</v>
      </c>
      <c r="H389">
        <f>IF(H388=0, IF(G389&gt;Inputs!$B$2, -1, IF(G389&lt;-Inputs!$B$2, 1, 0)), IF(AND(H388=1, G389&gt;-Inputs!$B$3), 0, IF(AND(H388=-1, G389&lt;Inputs!$B$3), 0, H388)))</f>
        <v>0</v>
      </c>
      <c r="I389" s="3">
        <f>(((B389/B388)-(C389/C388))*H388)-IF(H389&lt;&gt;H388, Inputs!$B$4, 0)</f>
        <v>0</v>
      </c>
      <c r="J389" s="2">
        <f>J388*(1+I389)</f>
        <v>0</v>
      </c>
      <c r="K389" s="3">
        <f>(B389-B388)/B388</f>
        <v>0</v>
      </c>
      <c r="L389" s="2">
        <f>MAX(J$2:J389)</f>
        <v>0</v>
      </c>
      <c r="M389" s="3">
        <f>(J389-L389)/L389</f>
        <v>0</v>
      </c>
    </row>
    <row r="390" spans="1:13">
      <c r="A390" t="s">
        <v>413</v>
      </c>
      <c r="B390" s="2">
        <v>51.05</v>
      </c>
      <c r="C390" s="2">
        <v>304.87991508</v>
      </c>
      <c r="D390" s="2">
        <f>B390/C390</f>
        <v>0</v>
      </c>
      <c r="E390" s="2">
        <f>(D390*(2/(Inputs!$B$1+1)))+(E389*(1-(2/(Inputs!$B$1+1))))</f>
        <v>0</v>
      </c>
      <c r="F390" s="2">
        <f>STDEV.S(OFFSET(D390, -(MIN(Inputs!$B$1, ROW()-1)-1), 0, MIN(Inputs!$B$1, ROW()-1), 1))</f>
        <v>0</v>
      </c>
      <c r="G390" s="2">
        <f>IF(F390=0, 0, (D390-E390)/F390)</f>
        <v>0</v>
      </c>
      <c r="H390">
        <f>IF(H389=0, IF(G390&gt;Inputs!$B$2, -1, IF(G390&lt;-Inputs!$B$2, 1, 0)), IF(AND(H389=1, G390&gt;-Inputs!$B$3), 0, IF(AND(H389=-1, G390&lt;Inputs!$B$3), 0, H389)))</f>
        <v>0</v>
      </c>
      <c r="I390" s="3">
        <f>(((B390/B389)-(C390/C389))*H389)-IF(H390&lt;&gt;H389, Inputs!$B$4, 0)</f>
        <v>0</v>
      </c>
      <c r="J390" s="2">
        <f>J389*(1+I390)</f>
        <v>0</v>
      </c>
      <c r="K390" s="3">
        <f>(B390-B389)/B389</f>
        <v>0</v>
      </c>
      <c r="L390" s="2">
        <f>MAX(J$2:J390)</f>
        <v>0</v>
      </c>
      <c r="M390" s="3">
        <f>(J390-L390)/L390</f>
        <v>0</v>
      </c>
    </row>
    <row r="391" spans="1:13">
      <c r="A391" t="s">
        <v>414</v>
      </c>
      <c r="B391" s="2">
        <v>48.455</v>
      </c>
      <c r="C391" s="2">
        <v>286.67048728</v>
      </c>
      <c r="D391" s="2">
        <f>B391/C391</f>
        <v>0</v>
      </c>
      <c r="E391" s="2">
        <f>(D391*(2/(Inputs!$B$1+1)))+(E390*(1-(2/(Inputs!$B$1+1))))</f>
        <v>0</v>
      </c>
      <c r="F391" s="2">
        <f>STDEV.S(OFFSET(D391, -(MIN(Inputs!$B$1, ROW()-1)-1), 0, MIN(Inputs!$B$1, ROW()-1), 1))</f>
        <v>0</v>
      </c>
      <c r="G391" s="2">
        <f>IF(F391=0, 0, (D391-E391)/F391)</f>
        <v>0</v>
      </c>
      <c r="H391">
        <f>IF(H390=0, IF(G391&gt;Inputs!$B$2, -1, IF(G391&lt;-Inputs!$B$2, 1, 0)), IF(AND(H390=1, G391&gt;-Inputs!$B$3), 0, IF(AND(H390=-1, G391&lt;Inputs!$B$3), 0, H390)))</f>
        <v>0</v>
      </c>
      <c r="I391" s="3">
        <f>(((B391/B390)-(C391/C390))*H390)-IF(H391&lt;&gt;H390, Inputs!$B$4, 0)</f>
        <v>0</v>
      </c>
      <c r="J391" s="2">
        <f>J390*(1+I391)</f>
        <v>0</v>
      </c>
      <c r="K391" s="3">
        <f>(B391-B390)/B390</f>
        <v>0</v>
      </c>
      <c r="L391" s="2">
        <f>MAX(J$2:J391)</f>
        <v>0</v>
      </c>
      <c r="M391" s="3">
        <f>(J391-L391)/L391</f>
        <v>0</v>
      </c>
    </row>
    <row r="392" spans="1:13">
      <c r="A392" t="s">
        <v>415</v>
      </c>
      <c r="B392" s="2">
        <v>47.46</v>
      </c>
      <c r="C392" s="2">
        <v>277.649404</v>
      </c>
      <c r="D392" s="2">
        <f>B392/C392</f>
        <v>0</v>
      </c>
      <c r="E392" s="2">
        <f>(D392*(2/(Inputs!$B$1+1)))+(E391*(1-(2/(Inputs!$B$1+1))))</f>
        <v>0</v>
      </c>
      <c r="F392" s="2">
        <f>STDEV.S(OFFSET(D392, -(MIN(Inputs!$B$1, ROW()-1)-1), 0, MIN(Inputs!$B$1, ROW()-1), 1))</f>
        <v>0</v>
      </c>
      <c r="G392" s="2">
        <f>IF(F392=0, 0, (D392-E392)/F392)</f>
        <v>0</v>
      </c>
      <c r="H392">
        <f>IF(H391=0, IF(G392&gt;Inputs!$B$2, -1, IF(G392&lt;-Inputs!$B$2, 1, 0)), IF(AND(H391=1, G392&gt;-Inputs!$B$3), 0, IF(AND(H391=-1, G392&lt;Inputs!$B$3), 0, H391)))</f>
        <v>0</v>
      </c>
      <c r="I392" s="3">
        <f>(((B392/B391)-(C392/C391))*H391)-IF(H392&lt;&gt;H391, Inputs!$B$4, 0)</f>
        <v>0</v>
      </c>
      <c r="J392" s="2">
        <f>J391*(1+I392)</f>
        <v>0</v>
      </c>
      <c r="K392" s="3">
        <f>(B392-B391)/B391</f>
        <v>0</v>
      </c>
      <c r="L392" s="2">
        <f>MAX(J$2:J392)</f>
        <v>0</v>
      </c>
      <c r="M392" s="3">
        <f>(J392-L392)/L392</f>
        <v>0</v>
      </c>
    </row>
    <row r="393" spans="1:13">
      <c r="A393" t="s">
        <v>416</v>
      </c>
      <c r="B393" s="2">
        <v>46.81</v>
      </c>
      <c r="C393" s="2">
        <v>272.83249887</v>
      </c>
      <c r="D393" s="2">
        <f>B393/C393</f>
        <v>0</v>
      </c>
      <c r="E393" s="2">
        <f>(D393*(2/(Inputs!$B$1+1)))+(E392*(1-(2/(Inputs!$B$1+1))))</f>
        <v>0</v>
      </c>
      <c r="F393" s="2">
        <f>STDEV.S(OFFSET(D393, -(MIN(Inputs!$B$1, ROW()-1)-1), 0, MIN(Inputs!$B$1, ROW()-1), 1))</f>
        <v>0</v>
      </c>
      <c r="G393" s="2">
        <f>IF(F393=0, 0, (D393-E393)/F393)</f>
        <v>0</v>
      </c>
      <c r="H393">
        <f>IF(H392=0, IF(G393&gt;Inputs!$B$2, -1, IF(G393&lt;-Inputs!$B$2, 1, 0)), IF(AND(H392=1, G393&gt;-Inputs!$B$3), 0, IF(AND(H392=-1, G393&lt;Inputs!$B$3), 0, H392)))</f>
        <v>0</v>
      </c>
      <c r="I393" s="3">
        <f>(((B393/B392)-(C393/C392))*H392)-IF(H393&lt;&gt;H392, Inputs!$B$4, 0)</f>
        <v>0</v>
      </c>
      <c r="J393" s="2">
        <f>J392*(1+I393)</f>
        <v>0</v>
      </c>
      <c r="K393" s="3">
        <f>(B393-B392)/B392</f>
        <v>0</v>
      </c>
      <c r="L393" s="2">
        <f>MAX(J$2:J393)</f>
        <v>0</v>
      </c>
      <c r="M393" s="3">
        <f>(J393-L393)/L393</f>
        <v>0</v>
      </c>
    </row>
    <row r="394" spans="1:13">
      <c r="A394" t="s">
        <v>417</v>
      </c>
      <c r="B394" s="2">
        <v>48.69</v>
      </c>
      <c r="C394" s="2">
        <v>286.5587459</v>
      </c>
      <c r="D394" s="2">
        <f>B394/C394</f>
        <v>0</v>
      </c>
      <c r="E394" s="2">
        <f>(D394*(2/(Inputs!$B$1+1)))+(E393*(1-(2/(Inputs!$B$1+1))))</f>
        <v>0</v>
      </c>
      <c r="F394" s="2">
        <f>STDEV.S(OFFSET(D394, -(MIN(Inputs!$B$1, ROW()-1)-1), 0, MIN(Inputs!$B$1, ROW()-1), 1))</f>
        <v>0</v>
      </c>
      <c r="G394" s="2">
        <f>IF(F394=0, 0, (D394-E394)/F394)</f>
        <v>0</v>
      </c>
      <c r="H394">
        <f>IF(H393=0, IF(G394&gt;Inputs!$B$2, -1, IF(G394&lt;-Inputs!$B$2, 1, 0)), IF(AND(H393=1, G394&gt;-Inputs!$B$3), 0, IF(AND(H393=-1, G394&lt;Inputs!$B$3), 0, H393)))</f>
        <v>0</v>
      </c>
      <c r="I394" s="3">
        <f>(((B394/B393)-(C394/C393))*H393)-IF(H394&lt;&gt;H393, Inputs!$B$4, 0)</f>
        <v>0</v>
      </c>
      <c r="J394" s="2">
        <f>J393*(1+I394)</f>
        <v>0</v>
      </c>
      <c r="K394" s="3">
        <f>(B394-B393)/B393</f>
        <v>0</v>
      </c>
      <c r="L394" s="2">
        <f>MAX(J$2:J394)</f>
        <v>0</v>
      </c>
      <c r="M394" s="3">
        <f>(J394-L394)/L394</f>
        <v>0</v>
      </c>
    </row>
    <row r="395" spans="1:13">
      <c r="A395" t="s">
        <v>418</v>
      </c>
      <c r="B395" s="2">
        <v>49.44</v>
      </c>
      <c r="C395" s="2">
        <v>290.49024028</v>
      </c>
      <c r="D395" s="2">
        <f>B395/C395</f>
        <v>0</v>
      </c>
      <c r="E395" s="2">
        <f>(D395*(2/(Inputs!$B$1+1)))+(E394*(1-(2/(Inputs!$B$1+1))))</f>
        <v>0</v>
      </c>
      <c r="F395" s="2">
        <f>STDEV.S(OFFSET(D395, -(MIN(Inputs!$B$1, ROW()-1)-1), 0, MIN(Inputs!$B$1, ROW()-1), 1))</f>
        <v>0</v>
      </c>
      <c r="G395" s="2">
        <f>IF(F395=0, 0, (D395-E395)/F395)</f>
        <v>0</v>
      </c>
      <c r="H395">
        <f>IF(H394=0, IF(G395&gt;Inputs!$B$2, -1, IF(G395&lt;-Inputs!$B$2, 1, 0)), IF(AND(H394=1, G395&gt;-Inputs!$B$3), 0, IF(AND(H394=-1, G395&lt;Inputs!$B$3), 0, H394)))</f>
        <v>0</v>
      </c>
      <c r="I395" s="3">
        <f>(((B395/B394)-(C395/C394))*H394)-IF(H395&lt;&gt;H394, Inputs!$B$4, 0)</f>
        <v>0</v>
      </c>
      <c r="J395" s="2">
        <f>J394*(1+I395)</f>
        <v>0</v>
      </c>
      <c r="K395" s="3">
        <f>(B395-B394)/B394</f>
        <v>0</v>
      </c>
      <c r="L395" s="2">
        <f>MAX(J$2:J395)</f>
        <v>0</v>
      </c>
      <c r="M395" s="3">
        <f>(J395-L395)/L395</f>
        <v>0</v>
      </c>
    </row>
    <row r="396" spans="1:13">
      <c r="A396" t="s">
        <v>419</v>
      </c>
      <c r="B396" s="2">
        <v>47.66</v>
      </c>
      <c r="C396" s="2">
        <v>278.16098304</v>
      </c>
      <c r="D396" s="2">
        <f>B396/C396</f>
        <v>0</v>
      </c>
      <c r="E396" s="2">
        <f>(D396*(2/(Inputs!$B$1+1)))+(E395*(1-(2/(Inputs!$B$1+1))))</f>
        <v>0</v>
      </c>
      <c r="F396" s="2">
        <f>STDEV.S(OFFSET(D396, -(MIN(Inputs!$B$1, ROW()-1)-1), 0, MIN(Inputs!$B$1, ROW()-1), 1))</f>
        <v>0</v>
      </c>
      <c r="G396" s="2">
        <f>IF(F396=0, 0, (D396-E396)/F396)</f>
        <v>0</v>
      </c>
      <c r="H396">
        <f>IF(H395=0, IF(G396&gt;Inputs!$B$2, -1, IF(G396&lt;-Inputs!$B$2, 1, 0)), IF(AND(H395=1, G396&gt;-Inputs!$B$3), 0, IF(AND(H395=-1, G396&lt;Inputs!$B$3), 0, H395)))</f>
        <v>0</v>
      </c>
      <c r="I396" s="3">
        <f>(((B396/B395)-(C396/C395))*H395)-IF(H396&lt;&gt;H395, Inputs!$B$4, 0)</f>
        <v>0</v>
      </c>
      <c r="J396" s="2">
        <f>J395*(1+I396)</f>
        <v>0</v>
      </c>
      <c r="K396" s="3">
        <f>(B396-B395)/B395</f>
        <v>0</v>
      </c>
      <c r="L396" s="2">
        <f>MAX(J$2:J396)</f>
        <v>0</v>
      </c>
      <c r="M396" s="3">
        <f>(J396-L396)/L396</f>
        <v>0</v>
      </c>
    </row>
    <row r="397" spans="1:13">
      <c r="A397" t="s">
        <v>420</v>
      </c>
      <c r="B397" s="2">
        <v>45.84</v>
      </c>
      <c r="C397" s="2">
        <v>269.1437875</v>
      </c>
      <c r="D397" s="2">
        <f>B397/C397</f>
        <v>0</v>
      </c>
      <c r="E397" s="2">
        <f>(D397*(2/(Inputs!$B$1+1)))+(E396*(1-(2/(Inputs!$B$1+1))))</f>
        <v>0</v>
      </c>
      <c r="F397" s="2">
        <f>STDEV.S(OFFSET(D397, -(MIN(Inputs!$B$1, ROW()-1)-1), 0, MIN(Inputs!$B$1, ROW()-1), 1))</f>
        <v>0</v>
      </c>
      <c r="G397" s="2">
        <f>IF(F397=0, 0, (D397-E397)/F397)</f>
        <v>0</v>
      </c>
      <c r="H397">
        <f>IF(H396=0, IF(G397&gt;Inputs!$B$2, -1, IF(G397&lt;-Inputs!$B$2, 1, 0)), IF(AND(H396=1, G397&gt;-Inputs!$B$3), 0, IF(AND(H396=-1, G397&lt;Inputs!$B$3), 0, H396)))</f>
        <v>0</v>
      </c>
      <c r="I397" s="3">
        <f>(((B397/B396)-(C397/C396))*H396)-IF(H397&lt;&gt;H396, Inputs!$B$4, 0)</f>
        <v>0</v>
      </c>
      <c r="J397" s="2">
        <f>J396*(1+I397)</f>
        <v>0</v>
      </c>
      <c r="K397" s="3">
        <f>(B397-B396)/B396</f>
        <v>0</v>
      </c>
      <c r="L397" s="2">
        <f>MAX(J$2:J397)</f>
        <v>0</v>
      </c>
      <c r="M397" s="3">
        <f>(J397-L397)/L397</f>
        <v>0</v>
      </c>
    </row>
    <row r="398" spans="1:13">
      <c r="A398" t="s">
        <v>421</v>
      </c>
      <c r="B398" s="2">
        <v>49.26</v>
      </c>
      <c r="C398" s="2">
        <v>287.47062003</v>
      </c>
      <c r="D398" s="2">
        <f>B398/C398</f>
        <v>0</v>
      </c>
      <c r="E398" s="2">
        <f>(D398*(2/(Inputs!$B$1+1)))+(E397*(1-(2/(Inputs!$B$1+1))))</f>
        <v>0</v>
      </c>
      <c r="F398" s="2">
        <f>STDEV.S(OFFSET(D398, -(MIN(Inputs!$B$1, ROW()-1)-1), 0, MIN(Inputs!$B$1, ROW()-1), 1))</f>
        <v>0</v>
      </c>
      <c r="G398" s="2">
        <f>IF(F398=0, 0, (D398-E398)/F398)</f>
        <v>0</v>
      </c>
      <c r="H398">
        <f>IF(H397=0, IF(G398&gt;Inputs!$B$2, -1, IF(G398&lt;-Inputs!$B$2, 1, 0)), IF(AND(H397=1, G398&gt;-Inputs!$B$3), 0, IF(AND(H397=-1, G398&lt;Inputs!$B$3), 0, H397)))</f>
        <v>0</v>
      </c>
      <c r="I398" s="3">
        <f>(((B398/B397)-(C398/C397))*H397)-IF(H398&lt;&gt;H397, Inputs!$B$4, 0)</f>
        <v>0</v>
      </c>
      <c r="J398" s="2">
        <f>J397*(1+I398)</f>
        <v>0</v>
      </c>
      <c r="K398" s="3">
        <f>(B398-B397)/B397</f>
        <v>0</v>
      </c>
      <c r="L398" s="2">
        <f>MAX(J$2:J398)</f>
        <v>0</v>
      </c>
      <c r="M398" s="3">
        <f>(J398-L398)/L398</f>
        <v>0</v>
      </c>
    </row>
    <row r="399" spans="1:13">
      <c r="A399" t="s">
        <v>422</v>
      </c>
      <c r="B399" s="2">
        <v>50.055</v>
      </c>
      <c r="C399" s="2">
        <v>294.92923705</v>
      </c>
      <c r="D399" s="2">
        <f>B399/C399</f>
        <v>0</v>
      </c>
      <c r="E399" s="2">
        <f>(D399*(2/(Inputs!$B$1+1)))+(E398*(1-(2/(Inputs!$B$1+1))))</f>
        <v>0</v>
      </c>
      <c r="F399" s="2">
        <f>STDEV.S(OFFSET(D399, -(MIN(Inputs!$B$1, ROW()-1)-1), 0, MIN(Inputs!$B$1, ROW()-1), 1))</f>
        <v>0</v>
      </c>
      <c r="G399" s="2">
        <f>IF(F399=0, 0, (D399-E399)/F399)</f>
        <v>0</v>
      </c>
      <c r="H399">
        <f>IF(H398=0, IF(G399&gt;Inputs!$B$2, -1, IF(G399&lt;-Inputs!$B$2, 1, 0)), IF(AND(H398=1, G399&gt;-Inputs!$B$3), 0, IF(AND(H398=-1, G399&lt;Inputs!$B$3), 0, H398)))</f>
        <v>0</v>
      </c>
      <c r="I399" s="3">
        <f>(((B399/B398)-(C399/C398))*H398)-IF(H399&lt;&gt;H398, Inputs!$B$4, 0)</f>
        <v>0</v>
      </c>
      <c r="J399" s="2">
        <f>J398*(1+I399)</f>
        <v>0</v>
      </c>
      <c r="K399" s="3">
        <f>(B399-B398)/B398</f>
        <v>0</v>
      </c>
      <c r="L399" s="2">
        <f>MAX(J$2:J399)</f>
        <v>0</v>
      </c>
      <c r="M399" s="3">
        <f>(J399-L399)/L399</f>
        <v>0</v>
      </c>
    </row>
    <row r="400" spans="1:13">
      <c r="A400" t="s">
        <v>423</v>
      </c>
      <c r="B400" s="2">
        <v>47.45</v>
      </c>
      <c r="C400" s="2">
        <v>279.7856760899999</v>
      </c>
      <c r="D400" s="2">
        <f>B400/C400</f>
        <v>0</v>
      </c>
      <c r="E400" s="2">
        <f>(D400*(2/(Inputs!$B$1+1)))+(E399*(1-(2/(Inputs!$B$1+1))))</f>
        <v>0</v>
      </c>
      <c r="F400" s="2">
        <f>STDEV.S(OFFSET(D400, -(MIN(Inputs!$B$1, ROW()-1)-1), 0, MIN(Inputs!$B$1, ROW()-1), 1))</f>
        <v>0</v>
      </c>
      <c r="G400" s="2">
        <f>IF(F400=0, 0, (D400-E400)/F400)</f>
        <v>0</v>
      </c>
      <c r="H400">
        <f>IF(H399=0, IF(G400&gt;Inputs!$B$2, -1, IF(G400&lt;-Inputs!$B$2, 1, 0)), IF(AND(H399=1, G400&gt;-Inputs!$B$3), 0, IF(AND(H399=-1, G400&lt;Inputs!$B$3), 0, H399)))</f>
        <v>0</v>
      </c>
      <c r="I400" s="3">
        <f>(((B400/B399)-(C400/C399))*H399)-IF(H400&lt;&gt;H399, Inputs!$B$4, 0)</f>
        <v>0</v>
      </c>
      <c r="J400" s="2">
        <f>J399*(1+I400)</f>
        <v>0</v>
      </c>
      <c r="K400" s="3">
        <f>(B400-B399)/B399</f>
        <v>0</v>
      </c>
      <c r="L400" s="2">
        <f>MAX(J$2:J400)</f>
        <v>0</v>
      </c>
      <c r="M400" s="3">
        <f>(J400-L400)/L400</f>
        <v>0</v>
      </c>
    </row>
    <row r="401" spans="1:13">
      <c r="A401" t="s">
        <v>424</v>
      </c>
      <c r="B401" s="2">
        <v>47.82</v>
      </c>
      <c r="C401" s="2">
        <v>280.72550997</v>
      </c>
      <c r="D401" s="2">
        <f>B401/C401</f>
        <v>0</v>
      </c>
      <c r="E401" s="2">
        <f>(D401*(2/(Inputs!$B$1+1)))+(E400*(1-(2/(Inputs!$B$1+1))))</f>
        <v>0</v>
      </c>
      <c r="F401" s="2">
        <f>STDEV.S(OFFSET(D401, -(MIN(Inputs!$B$1, ROW()-1)-1), 0, MIN(Inputs!$B$1, ROW()-1), 1))</f>
        <v>0</v>
      </c>
      <c r="G401" s="2">
        <f>IF(F401=0, 0, (D401-E401)/F401)</f>
        <v>0</v>
      </c>
      <c r="H401">
        <f>IF(H400=0, IF(G401&gt;Inputs!$B$2, -1, IF(G401&lt;-Inputs!$B$2, 1, 0)), IF(AND(H400=1, G401&gt;-Inputs!$B$3), 0, IF(AND(H400=-1, G401&lt;Inputs!$B$3), 0, H400)))</f>
        <v>0</v>
      </c>
      <c r="I401" s="3">
        <f>(((B401/B400)-(C401/C400))*H400)-IF(H401&lt;&gt;H400, Inputs!$B$4, 0)</f>
        <v>0</v>
      </c>
      <c r="J401" s="2">
        <f>J400*(1+I401)</f>
        <v>0</v>
      </c>
      <c r="K401" s="3">
        <f>(B401-B400)/B400</f>
        <v>0</v>
      </c>
      <c r="L401" s="2">
        <f>MAX(J$2:J401)</f>
        <v>0</v>
      </c>
      <c r="M401" s="3">
        <f>(J401-L401)/L401</f>
        <v>0</v>
      </c>
    </row>
    <row r="402" spans="1:13">
      <c r="A402" t="s">
        <v>425</v>
      </c>
      <c r="B402" s="2">
        <v>47.82</v>
      </c>
      <c r="C402" s="2">
        <v>280.07029531</v>
      </c>
      <c r="D402" s="2">
        <f>B402/C402</f>
        <v>0</v>
      </c>
      <c r="E402" s="2">
        <f>(D402*(2/(Inputs!$B$1+1)))+(E401*(1-(2/(Inputs!$B$1+1))))</f>
        <v>0</v>
      </c>
      <c r="F402" s="2">
        <f>STDEV.S(OFFSET(D402, -(MIN(Inputs!$B$1, ROW()-1)-1), 0, MIN(Inputs!$B$1, ROW()-1), 1))</f>
        <v>0</v>
      </c>
      <c r="G402" s="2">
        <f>IF(F402=0, 0, (D402-E402)/F402)</f>
        <v>0</v>
      </c>
      <c r="H402">
        <f>IF(H401=0, IF(G402&gt;Inputs!$B$2, -1, IF(G402&lt;-Inputs!$B$2, 1, 0)), IF(AND(H401=1, G402&gt;-Inputs!$B$3), 0, IF(AND(H401=-1, G402&lt;Inputs!$B$3), 0, H401)))</f>
        <v>0</v>
      </c>
      <c r="I402" s="3">
        <f>(((B402/B401)-(C402/C401))*H401)-IF(H402&lt;&gt;H401, Inputs!$B$4, 0)</f>
        <v>0</v>
      </c>
      <c r="J402" s="2">
        <f>J401*(1+I402)</f>
        <v>0</v>
      </c>
      <c r="K402" s="3">
        <f>(B402-B401)/B401</f>
        <v>0</v>
      </c>
      <c r="L402" s="2">
        <f>MAX(J$2:J402)</f>
        <v>0</v>
      </c>
      <c r="M402" s="3">
        <f>(J402-L402)/L402</f>
        <v>0</v>
      </c>
    </row>
    <row r="403" spans="1:13">
      <c r="A403" t="s">
        <v>426</v>
      </c>
      <c r="B403" s="2">
        <v>48.63</v>
      </c>
      <c r="C403" s="2">
        <v>283.49458536</v>
      </c>
      <c r="D403" s="2">
        <f>B403/C403</f>
        <v>0</v>
      </c>
      <c r="E403" s="2">
        <f>(D403*(2/(Inputs!$B$1+1)))+(E402*(1-(2/(Inputs!$B$1+1))))</f>
        <v>0</v>
      </c>
      <c r="F403" s="2">
        <f>STDEV.S(OFFSET(D403, -(MIN(Inputs!$B$1, ROW()-1)-1), 0, MIN(Inputs!$B$1, ROW()-1), 1))</f>
        <v>0</v>
      </c>
      <c r="G403" s="2">
        <f>IF(F403=0, 0, (D403-E403)/F403)</f>
        <v>0</v>
      </c>
      <c r="H403">
        <f>IF(H402=0, IF(G403&gt;Inputs!$B$2, -1, IF(G403&lt;-Inputs!$B$2, 1, 0)), IF(AND(H402=1, G403&gt;-Inputs!$B$3), 0, IF(AND(H402=-1, G403&lt;Inputs!$B$3), 0, H402)))</f>
        <v>0</v>
      </c>
      <c r="I403" s="3">
        <f>(((B403/B402)-(C403/C402))*H402)-IF(H403&lt;&gt;H402, Inputs!$B$4, 0)</f>
        <v>0</v>
      </c>
      <c r="J403" s="2">
        <f>J402*(1+I403)</f>
        <v>0</v>
      </c>
      <c r="K403" s="3">
        <f>(B403-B402)/B402</f>
        <v>0</v>
      </c>
      <c r="L403" s="2">
        <f>MAX(J$2:J403)</f>
        <v>0</v>
      </c>
      <c r="M403" s="3">
        <f>(J403-L403)/L403</f>
        <v>0</v>
      </c>
    </row>
    <row r="404" spans="1:13">
      <c r="A404" t="s">
        <v>427</v>
      </c>
      <c r="B404" s="2">
        <v>47.9299</v>
      </c>
      <c r="C404" s="2">
        <v>279.03083</v>
      </c>
      <c r="D404" s="2">
        <f>B404/C404</f>
        <v>0</v>
      </c>
      <c r="E404" s="2">
        <f>(D404*(2/(Inputs!$B$1+1)))+(E403*(1-(2/(Inputs!$B$1+1))))</f>
        <v>0</v>
      </c>
      <c r="F404" s="2">
        <f>STDEV.S(OFFSET(D404, -(MIN(Inputs!$B$1, ROW()-1)-1), 0, MIN(Inputs!$B$1, ROW()-1), 1))</f>
        <v>0</v>
      </c>
      <c r="G404" s="2">
        <f>IF(F404=0, 0, (D404-E404)/F404)</f>
        <v>0</v>
      </c>
      <c r="H404">
        <f>IF(H403=0, IF(G404&gt;Inputs!$B$2, -1, IF(G404&lt;-Inputs!$B$2, 1, 0)), IF(AND(H403=1, G404&gt;-Inputs!$B$3), 0, IF(AND(H403=-1, G404&lt;Inputs!$B$3), 0, H403)))</f>
        <v>0</v>
      </c>
      <c r="I404" s="3">
        <f>(((B404/B403)-(C404/C403))*H403)-IF(H404&lt;&gt;H403, Inputs!$B$4, 0)</f>
        <v>0</v>
      </c>
      <c r="J404" s="2">
        <f>J403*(1+I404)</f>
        <v>0</v>
      </c>
      <c r="K404" s="3">
        <f>(B404-B403)/B403</f>
        <v>0</v>
      </c>
      <c r="L404" s="2">
        <f>MAX(J$2:J404)</f>
        <v>0</v>
      </c>
      <c r="M404" s="3">
        <f>(J404-L404)/L404</f>
        <v>0</v>
      </c>
    </row>
    <row r="405" spans="1:13">
      <c r="A405" t="s">
        <v>428</v>
      </c>
      <c r="B405" s="2">
        <v>45.27</v>
      </c>
      <c r="C405" s="2">
        <v>265.6060759</v>
      </c>
      <c r="D405" s="2">
        <f>B405/C405</f>
        <v>0</v>
      </c>
      <c r="E405" s="2">
        <f>(D405*(2/(Inputs!$B$1+1)))+(E404*(1-(2/(Inputs!$B$1+1))))</f>
        <v>0</v>
      </c>
      <c r="F405" s="2">
        <f>STDEV.S(OFFSET(D405, -(MIN(Inputs!$B$1, ROW()-1)-1), 0, MIN(Inputs!$B$1, ROW()-1), 1))</f>
        <v>0</v>
      </c>
      <c r="G405" s="2">
        <f>IF(F405=0, 0, (D405-E405)/F405)</f>
        <v>0</v>
      </c>
      <c r="H405">
        <f>IF(H404=0, IF(G405&gt;Inputs!$B$2, -1, IF(G405&lt;-Inputs!$B$2, 1, 0)), IF(AND(H404=1, G405&gt;-Inputs!$B$3), 0, IF(AND(H404=-1, G405&lt;Inputs!$B$3), 0, H404)))</f>
        <v>0</v>
      </c>
      <c r="I405" s="3">
        <f>(((B405/B404)-(C405/C404))*H404)-IF(H405&lt;&gt;H404, Inputs!$B$4, 0)</f>
        <v>0</v>
      </c>
      <c r="J405" s="2">
        <f>J404*(1+I405)</f>
        <v>0</v>
      </c>
      <c r="K405" s="3">
        <f>(B405-B404)/B404</f>
        <v>0</v>
      </c>
      <c r="L405" s="2">
        <f>MAX(J$2:J405)</f>
        <v>0</v>
      </c>
      <c r="M405" s="3">
        <f>(J405-L405)/L405</f>
        <v>0</v>
      </c>
    </row>
    <row r="406" spans="1:13">
      <c r="A406" t="s">
        <v>429</v>
      </c>
      <c r="B406" s="2">
        <v>44.1</v>
      </c>
      <c r="C406" s="2">
        <v>258.22482304</v>
      </c>
      <c r="D406" s="2">
        <f>B406/C406</f>
        <v>0</v>
      </c>
      <c r="E406" s="2">
        <f>(D406*(2/(Inputs!$B$1+1)))+(E405*(1-(2/(Inputs!$B$1+1))))</f>
        <v>0</v>
      </c>
      <c r="F406" s="2">
        <f>STDEV.S(OFFSET(D406, -(MIN(Inputs!$B$1, ROW()-1)-1), 0, MIN(Inputs!$B$1, ROW()-1), 1))</f>
        <v>0</v>
      </c>
      <c r="G406" s="2">
        <f>IF(F406=0, 0, (D406-E406)/F406)</f>
        <v>0</v>
      </c>
      <c r="H406">
        <f>IF(H405=0, IF(G406&gt;Inputs!$B$2, -1, IF(G406&lt;-Inputs!$B$2, 1, 0)), IF(AND(H405=1, G406&gt;-Inputs!$B$3), 0, IF(AND(H405=-1, G406&lt;Inputs!$B$3), 0, H405)))</f>
        <v>0</v>
      </c>
      <c r="I406" s="3">
        <f>(((B406/B405)-(C406/C405))*H405)-IF(H406&lt;&gt;H405, Inputs!$B$4, 0)</f>
        <v>0</v>
      </c>
      <c r="J406" s="2">
        <f>J405*(1+I406)</f>
        <v>0</v>
      </c>
      <c r="K406" s="3">
        <f>(B406-B405)/B405</f>
        <v>0</v>
      </c>
      <c r="L406" s="2">
        <f>MAX(J$2:J406)</f>
        <v>0</v>
      </c>
      <c r="M406" s="3">
        <f>(J406-L406)/L406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430</v>
      </c>
      <c r="B1" s="1" t="s">
        <v>431</v>
      </c>
    </row>
    <row r="2" spans="1:2">
      <c r="A2" t="s">
        <v>432</v>
      </c>
      <c r="B2" s="3">
        <f>'Strategy'!J406-1</f>
        <v>0</v>
      </c>
    </row>
    <row r="3" spans="1:2">
      <c r="A3" t="s">
        <v>433</v>
      </c>
      <c r="B3" s="3">
        <f>((1+B2)^(252/405))-1</f>
        <v>0</v>
      </c>
    </row>
    <row r="4" spans="1:2">
      <c r="A4" t="s">
        <v>434</v>
      </c>
      <c r="B4" s="3">
        <f>STDEV.P('Strategy'!I2:I406)*SQRT(252)</f>
        <v>0</v>
      </c>
    </row>
    <row r="5" spans="1:2">
      <c r="A5" t="s">
        <v>435</v>
      </c>
      <c r="B5" s="2">
        <f>(B3-Inputs!B5)/B4</f>
        <v>0</v>
      </c>
    </row>
    <row r="6" spans="1:2">
      <c r="A6" t="s">
        <v>436</v>
      </c>
      <c r="B6" s="3">
        <f>MIN('Strategy'!M2:M406)</f>
        <v>0</v>
      </c>
    </row>
    <row r="7" spans="1:2">
      <c r="A7" t="s">
        <v>437</v>
      </c>
    </row>
    <row r="8" spans="1:2">
      <c r="A8" t="s">
        <v>438</v>
      </c>
      <c r="B8" s="2">
        <f>COVARIANCE.P('Strategy'!I2:I406, 'Strategy'!K2:K406)/VAR.P('Strategy'!K2:K406)</f>
        <v>0</v>
      </c>
    </row>
    <row r="9" spans="1:2">
      <c r="A9" t="s">
        <v>439</v>
      </c>
      <c r="B9" s="2">
        <f>CORREL('Strategy'!I2:I406, 'Strategy'!K2:K406)</f>
        <v>0</v>
      </c>
    </row>
    <row r="10" spans="1:2">
      <c r="A10" t="s">
        <v>440</v>
      </c>
      <c r="B10" s="3">
        <f>B3 - (Inputs!B5 + B8 * (((B406/B2)^(252/405))-1 - Inputs!B5))</f>
        <v>0</v>
      </c>
    </row>
    <row r="11" spans="1:2">
      <c r="A11" t="s">
        <v>441</v>
      </c>
    </row>
    <row r="12" spans="1:2">
      <c r="A12" t="s">
        <v>442</v>
      </c>
      <c r="B12">
        <f>COUNTIFS('Strategy'!H2:H406, 1, 'Strategy'!H1:H405, 0)</f>
        <v>0</v>
      </c>
    </row>
    <row r="13" spans="1:2">
      <c r="A13" t="s">
        <v>443</v>
      </c>
      <c r="B13">
        <f>COUNTIFS('Strategy'!H2:H406, -1, 'Strategy'!H1:H405, 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Strategy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2026-07-06T11:47:13Z</dcterms:created>
  <dcterms:modified xsi:type="dcterms:W3CDTF">2026-07-06T11:47:13Z</dcterms:modified>
</cp:coreProperties>
</file>